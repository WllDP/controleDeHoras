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Joilson" sheetId="1" state="hidden" r:id="rId4"/>
    <sheet name="Atividades" sheetId="2" r:id="rId5"/>
    <sheet name="Rafael" sheetId="3" state="hidden" r:id="rId6"/>
    <sheet name="Luciano" sheetId="4" state="hidden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<sst xmlns="http://schemas.openxmlformats.org/spreadsheetml/2006/main" uniqueCount="21">
  <si>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Controle de Atividades - Herval</t>
  </si>
  <si>
    <t>Data</t>
  </si>
  <si>
    <t>Colaborador</t>
  </si>
  <si>
    <t>Atividade</t>
  </si>
  <si>
    <t>Entrada manhã</t>
  </si>
  <si>
    <t xml:space="preserve">Saída manhã </t>
  </si>
  <si>
    <t>Total</t>
  </si>
  <si>
    <t>Entrada tarde</t>
  </si>
  <si>
    <t>Saída tarde</t>
  </si>
  <si>
    <t>TotalGeral</t>
  </si>
  <si>
    <t>Joilson</t>
  </si>
  <si>
    <t>Projeto SAM</t>
  </si>
  <si>
    <t>Total:</t>
  </si>
  <si>
    <t>Controle de Atividades</t>
  </si>
  <si>
    <t>Teste</t>
  </si>
  <si>
    <t>teste</t>
  </si>
  <si>
    <t>te</t>
  </si>
  <si>
    <t>T</t>
  </si>
  <si>
    <t>Rafael</t>
  </si>
  <si>
    <t>Luciano</t>
  </si>
  <si>
    <t>Projeto SAM - Automação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</si>
</sst>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FFFFFF"/>
      <name val="Calibri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21" fillId="0" borderId="2" applyFont="1" applyNumberFormat="1" applyFill="0" applyBorder="1" applyAlignment="1">
      <alignment vertical="center" textRotation="0" wrapText="true" shrinkToFit="false"/>
    </xf>
    <xf xfId="0" fontId="3" numFmtId="46" fillId="0" borderId="2" applyFont="1" applyNumberFormat="1" applyFill="0" applyBorder="1" applyAlignment="1">
      <alignment vertical="center" textRotation="0" wrapText="true" shrinkToFit="false"/>
    </xf>
    <xf xfId="0" fontId="3" numFmtId="21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14" fillId="0" borderId="2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3" applyFont="1" applyNumberFormat="0" applyFill="0" applyBorder="1" applyAlignment="1">
      <alignment vertical="center" textRotation="0" wrapText="true" shrinkToFit="false"/>
    </xf>
    <xf xfId="0" fontId="1" numFmtId="46" fillId="0" borderId="4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3" numFmtId="46" fillId="0" borderId="0" applyFont="1" applyNumberFormat="1" applyFill="0" applyBorder="0" applyAlignment="1">
      <alignment vertical="bottom" textRotation="0" wrapText="tru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1">
      <alignment vertical="bottom" textRotation="0" wrapText="tru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4" numFmtId="0" fillId="0" borderId="8" applyFont="1" applyNumberFormat="0" applyFill="0" applyBorder="1" applyAlignment="0"/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4" numFmtId="0" fillId="0" borderId="12" applyFont="1" applyNumberFormat="0" applyFill="0" applyBorder="1" applyAlignment="0"/>
    <xf xfId="0" fontId="6" numFmtId="164" fillId="0" borderId="2" applyFont="1" applyNumberFormat="1" applyFill="0" applyBorder="1" applyAlignment="1">
      <alignment vertical="center" textRotation="0" wrapText="true" shrinkToFit="false"/>
    </xf>
    <xf xfId="0" fontId="3" numFmtId="165" fillId="0" borderId="2" applyFont="1" applyNumberFormat="1" applyFill="0" applyBorder="1" applyAlignment="1">
      <alignment vertical="center" textRotation="0" wrapText="true" shrinkToFit="false"/>
    </xf>
    <xf xfId="0" fontId="1" numFmtId="46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true" shrinkToFit="false"/>
    </xf>
    <xf xfId="0" fontId="6" numFmtId="164" fillId="0" borderId="2" applyFont="1" applyNumberFormat="1" applyFill="0" applyBorder="1" applyAlignment="1">
      <alignment horizontal="center" vertical="center" textRotation="0" wrapText="false" shrinkToFit="false"/>
    </xf>
    <xf xfId="0" fontId="7" numFmtId="46" fillId="0" borderId="2" applyFont="1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bcfcaba3f3fd63d6d865b5d90b1326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bcfcaba3f3fd63d6d865b5d90b1326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bcfcaba3f3fd63d6d865b5d90b1326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5bcfcaba3f3fd63d6d865b5d90b132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323850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4">
      <selection activeCell="H13" sqref="H13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10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10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10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10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10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10</v>
      </c>
      <c r="C9" s="7" t="s">
        <v>11</v>
      </c>
      <c r="D9" s="6">
        <v>0.25694444444444</v>
      </c>
      <c r="E9" s="6">
        <v>0.51180555555556</v>
      </c>
      <c r="F9" s="4">
        <f>E9-D9</f>
        <v>0.25486111111111</v>
      </c>
      <c r="G9" s="6">
        <v>0.55555555555556</v>
      </c>
      <c r="H9" s="6">
        <v>0.71736111111111</v>
      </c>
      <c r="I9" s="4">
        <f>H9-G9</f>
        <v>0.16180555555556</v>
      </c>
      <c r="J9" s="5">
        <f>SUM(I9,F9)</f>
        <v>0.41666666666667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10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10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10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10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10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10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10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10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10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10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10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10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10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10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10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2.083333333333333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90"/>
  <sheetViews>
    <sheetView tabSelected="1" workbookViewId="0" zoomScale="141" showGridLines="true" showRowColHeaders="1">
      <selection activeCell="J9" sqref="J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9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13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26">
        <v>46101.08890755786706</v>
      </c>
      <c r="B4" s="29" t="s">
        <v>14</v>
      </c>
      <c r="C4" s="29" t="s">
        <v>15</v>
      </c>
      <c r="D4" s="27">
        <v>46101.08890755786706</v>
      </c>
      <c r="E4" s="27">
        <v>46101.088988576389966</v>
      </c>
      <c r="F4" s="28">
        <f>E4-D4</f>
        <v>8.1018522905651E-5</v>
      </c>
      <c r="G4" s="27">
        <v>0</v>
      </c>
      <c r="H4" s="27">
        <v>0</v>
      </c>
      <c r="I4" s="28">
        <f>H4-G4</f>
        <v>0</v>
      </c>
      <c r="J4" s="28">
        <f>SUM(F4,I4)</f>
        <v>8.1018522905651E-5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26">
        <v>46101.10064063657046</v>
      </c>
      <c r="B5" s="31" t="s">
        <v>14</v>
      </c>
      <c r="C5" s="31" t="s">
        <v>16</v>
      </c>
      <c r="D5" s="30">
        <v>46101.10064063657046</v>
      </c>
      <c r="E5" s="30">
        <v>46101.1006869328703</v>
      </c>
      <c r="F5" s="32">
        <f>E5-D5</f>
        <v>4.6296299842652E-5</v>
      </c>
      <c r="G5" s="30">
        <v>0</v>
      </c>
      <c r="H5" s="30">
        <v>0</v>
      </c>
      <c r="I5" s="32">
        <f>H5-G5</f>
        <v>0</v>
      </c>
      <c r="J5" s="32">
        <f>SUM(F5,I5)</f>
        <v>4.6296299842652E-5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26">
        <v>46101.10712770833197</v>
      </c>
      <c r="B6" s="31" t="s">
        <v>14</v>
      </c>
      <c r="C6" s="31" t="s">
        <v>14</v>
      </c>
      <c r="D6" s="30">
        <v>46101.10712770833197</v>
      </c>
      <c r="E6" s="30">
        <v>46101.10715085647826</v>
      </c>
      <c r="F6" s="32">
        <f>E6-D6</f>
        <v>2.3148146283347E-5</v>
      </c>
      <c r="G6" s="30">
        <v>0</v>
      </c>
      <c r="H6" s="30">
        <v>0</v>
      </c>
      <c r="I6" s="32">
        <f>H6-G6</f>
        <v>0</v>
      </c>
      <c r="J6" s="32">
        <f>SUM(F6,I6)</f>
        <v>2.3148146283347E-5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26">
        <v>46104.65650672453921</v>
      </c>
      <c r="B7" s="31" t="s">
        <v>14</v>
      </c>
      <c r="C7" s="31" t="s">
        <v>14</v>
      </c>
      <c r="D7" s="30">
        <v>0</v>
      </c>
      <c r="E7" s="30">
        <v>0</v>
      </c>
      <c r="F7" s="32">
        <f>E7-D7</f>
        <v>0</v>
      </c>
      <c r="G7" s="30">
        <v>46104.65650672453921</v>
      </c>
      <c r="H7" s="30">
        <v>46104.65656459490856</v>
      </c>
      <c r="I7" s="32">
        <f>H7-G7</f>
        <v>5.7870369346347E-5</v>
      </c>
      <c r="J7" s="32">
        <f>SUM(F7,I7)</f>
        <v>5.7870369346347E-5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26">
        <v>46104.69576076389058</v>
      </c>
      <c r="B8" s="31" t="s">
        <v>14</v>
      </c>
      <c r="C8" s="31" t="s">
        <v>17</v>
      </c>
      <c r="D8" s="30">
        <v>0</v>
      </c>
      <c r="E8" s="30">
        <v>0</v>
      </c>
      <c r="F8" s="32">
        <f>E8-D8</f>
        <v>0</v>
      </c>
      <c r="G8" s="30">
        <v>46104.69576076389058</v>
      </c>
      <c r="H8" s="30">
        <v>46104.69578391203686</v>
      </c>
      <c r="I8" s="32">
        <f>H8-G8</f>
        <v>2.3148146283347E-5</v>
      </c>
      <c r="J8" s="32">
        <f>SUM(F8,I8)</f>
        <v>2.3148146283347E-5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9"/>
      <c r="B9" s="9"/>
      <c r="C9" s="9"/>
      <c r="D9" s="9"/>
      <c r="E9" s="9"/>
      <c r="F9" s="9"/>
      <c r="G9" s="9"/>
      <c r="H9" s="9"/>
      <c r="I9" s="10" t="s">
        <v>12</v>
      </c>
      <c r="J9" s="11">
        <f>SUM(J4:J8)</f>
        <v>0.00023148148466134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12"/>
      <c r="B10" s="12"/>
      <c r="C10" s="12"/>
      <c r="D10" s="12"/>
      <c r="E10" s="12"/>
      <c r="F10" s="12"/>
      <c r="G10" s="12"/>
      <c r="H10" s="12"/>
      <c r="I10" s="13"/>
      <c r="J10" s="14"/>
    </row>
    <row r="11" spans="1:25" customHeight="1" ht="14.25"/>
    <row r="12" spans="1:25" customHeight="1" ht="14.25"/>
    <row r="13" spans="1:25" customHeight="1" ht="14.25"/>
    <row r="14" spans="1:25" customHeight="1" ht="14.25"/>
    <row r="15" spans="1:25" customHeight="1" ht="14.25"/>
    <row r="16" spans="1:25" customHeight="1" ht="14.25"/>
    <row r="17" spans="1:25" customHeight="1" ht="14.25"/>
    <row r="18" spans="1:25" customHeight="1" ht="14.25"/>
    <row r="19" spans="1:25" customHeight="1" ht="14.25"/>
    <row r="20" spans="1:25" customHeight="1" ht="14.25"/>
    <row r="21" spans="1:25" customHeight="1" ht="14.25"/>
    <row r="22" spans="1:25" customHeight="1" ht="14.25"/>
    <row r="23" spans="1:25" customHeight="1" ht="14.25"/>
    <row r="24" spans="1:25" customHeight="1" ht="14.25"/>
    <row r="25" spans="1:25" customHeight="1" ht="14.25"/>
    <row r="26" spans="1:25" customHeight="1" ht="14.25"/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>
      <c r="B990" s="15"/>
      <c r="C990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2">
      <selection activeCell="E12" sqref="E12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18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18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18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18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18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0.54652777777778</v>
      </c>
      <c r="H8" s="6">
        <v>0.75</v>
      </c>
      <c r="I8" s="4">
        <f>H8-G8</f>
        <v>0.20347222222222</v>
      </c>
      <c r="J8" s="5">
        <f>SUM(I8,F8)</f>
        <v>0.32847222222222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18</v>
      </c>
      <c r="C9" s="7" t="s">
        <v>11</v>
      </c>
      <c r="D9" s="6"/>
      <c r="E9" s="6"/>
      <c r="F9" s="4">
        <f>E9-D9</f>
        <v>0</v>
      </c>
      <c r="G9" s="6"/>
      <c r="H9" s="6"/>
      <c r="I9" s="4">
        <f>H9-G9</f>
        <v>0</v>
      </c>
      <c r="J9" s="5">
        <f>SUM(I9,F9)</f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18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18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18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18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18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18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18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18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18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18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18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18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18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18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18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1.66180555555556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>
      <selection activeCell="D9" sqref="D9:E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19</v>
      </c>
      <c r="C4" s="7" t="s">
        <v>20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19</v>
      </c>
      <c r="C5" s="7" t="s">
        <v>20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19</v>
      </c>
      <c r="C6" s="7" t="s">
        <v>20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19</v>
      </c>
      <c r="C7" s="7" t="s">
        <v>20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19</v>
      </c>
      <c r="C8" s="7" t="s">
        <v>20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19</v>
      </c>
      <c r="C9" s="7" t="s">
        <v>20</v>
      </c>
      <c r="D9" s="6">
        <v>0.375</v>
      </c>
      <c r="E9" s="6">
        <v>0.5</v>
      </c>
      <c r="F9" s="4">
        <f>E9-D9</f>
        <v>0.125</v>
      </c>
      <c r="G9" s="6"/>
      <c r="H9" s="6"/>
      <c r="I9" s="4">
        <f>H9-G9</f>
        <v>0</v>
      </c>
      <c r="J9" s="5">
        <f>SUM(I9,F9)</f>
        <v>0.125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19</v>
      </c>
      <c r="C10" s="7" t="s">
        <v>20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19</v>
      </c>
      <c r="C11" s="7" t="s">
        <v>20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19</v>
      </c>
      <c r="C12" s="7" t="s">
        <v>20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19</v>
      </c>
      <c r="C13" s="7" t="s">
        <v>20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19</v>
      </c>
      <c r="C14" s="7" t="s">
        <v>20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19</v>
      </c>
      <c r="C15" s="7" t="s">
        <v>20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19</v>
      </c>
      <c r="C16" s="7" t="s">
        <v>20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19</v>
      </c>
      <c r="C17" s="7" t="s">
        <v>20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19</v>
      </c>
      <c r="C18" s="7" t="s">
        <v>20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19</v>
      </c>
      <c r="C19" s="7" t="s">
        <v>20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19</v>
      </c>
      <c r="C20" s="7" t="s">
        <v>20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19</v>
      </c>
      <c r="C21" s="7" t="s">
        <v>20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19</v>
      </c>
      <c r="C22" s="7" t="s">
        <v>20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19</v>
      </c>
      <c r="C23" s="7" t="s">
        <v>20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19</v>
      </c>
      <c r="C24" s="7" t="s">
        <v>20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1.79166666666667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Joilson</vt:lpstr>
      <vt:lpstr>Atividades</vt:lpstr>
      <vt:lpstr>Rafael</vt:lpstr>
      <vt:lpstr>Luciano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 Company</dc:creator>
  <cp:lastModifiedBy>William Deivid Pires</cp:lastModifiedBy>
  <dcterms:created xsi:type="dcterms:W3CDTF">2021-07-06T16:41:01-03:00</dcterms:created>
  <dcterms:modified xsi:type="dcterms:W3CDTF">2026-01-21T10:07:48-03:00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2023-06-02T14:03:56Z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a6217203-f326-4f3b-bf7d-d94b33dfb2d3</vt:lpwstr>
  </property>
  <property fmtid="{D5CDD505-2E9C-101B-9397-08002B2CF9AE}" pid="8" name="MSIP_Label_387f406a-379f-47ee-930c-6bec6e76f2a4_ContentBits">
    <vt:lpwstr>2</vt:lpwstr>
  </property>
  <property fmtid="{D5CDD505-2E9C-101B-9397-08002B2CF9AE}" pid="9" name="ContentTypeId">
    <vt:lpwstr>0x0101006E79C1762D4DB04CB8915B65E7A99B98</vt:lpwstr>
  </property>
  <property fmtid="{D5CDD505-2E9C-101B-9397-08002B2CF9AE}" pid="10" name="Order">
    <vt:r8>7900.000000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