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Joilson" sheetId="1" state="hidden" r:id="rId4"/>
    <sheet name="Atividades" sheetId="2" r:id="rId5"/>
    <sheet name="Rafael" sheetId="3" state="hidden" r:id="rId6"/>
    <sheet name="Luciano" sheetId="4" state="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<sst xmlns="http://schemas.openxmlformats.org/spreadsheetml/2006/main" uniqueCount="20">
  <si>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Controle de Atividades - Herval</t>
  </si>
  <si>
    <t>Data</t>
  </si>
  <si>
    <t>Colaborador</t>
  </si>
  <si>
    <t>Atividade</t>
  </si>
  <si>
    <t>Entrada manhã</t>
  </si>
  <si>
    <t xml:space="preserve">Saída manhã </t>
  </si>
  <si>
    <t>Total</t>
  </si>
  <si>
    <t>Entrada tarde</t>
  </si>
  <si>
    <t>Saída tarde</t>
  </si>
  <si>
    <t>TotalGeral</t>
  </si>
  <si>
    <t>Joilson</t>
  </si>
  <si>
    <t>Projeto SAM</t>
  </si>
  <si>
    <t>Total:</t>
  </si>
  <si>
    <t>Controle de Atividades</t>
  </si>
  <si>
    <t>User</t>
  </si>
  <si>
    <t>Teste</t>
  </si>
  <si>
    <t>Test</t>
  </si>
  <si>
    <t>Rafael</t>
  </si>
  <si>
    <t>Luciano</t>
  </si>
  <si>
    <t>Projeto SAM - Automação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</si>
</sst>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FFFFFF"/>
      <name val="Calibri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21" fillId="0" borderId="2" applyFont="1" applyNumberFormat="1" applyFill="0" applyBorder="1" applyAlignment="1">
      <alignment vertical="center" textRotation="0" wrapText="true" shrinkToFit="false"/>
    </xf>
    <xf xfId="0" fontId="3" numFmtId="46" fillId="0" borderId="2" applyFont="1" applyNumberFormat="1" applyFill="0" applyBorder="1" applyAlignment="1">
      <alignment vertical="center" textRotation="0" wrapText="true" shrinkToFit="false"/>
    </xf>
    <xf xfId="0" fontId="3" numFmtId="21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14" fillId="0" borderId="2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3" applyFont="1" applyNumberFormat="0" applyFill="0" applyBorder="1" applyAlignment="1">
      <alignment vertical="center" textRotation="0" wrapText="true" shrinkToFit="false"/>
    </xf>
    <xf xfId="0" fontId="1" numFmtId="46" fillId="0" borderId="4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3" numFmtId="46" fillId="0" borderId="0" applyFont="1" applyNumberFormat="1" applyFill="0" applyBorder="0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4" numFmtId="0" fillId="0" borderId="8" applyFont="1" applyNumberFormat="0" applyFill="0" applyBorder="1" applyAlignment="0"/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4" numFmtId="0" fillId="0" borderId="12" applyFont="1" applyNumberFormat="0" applyFill="0" applyBorder="1" applyAlignment="0"/>
    <xf xfId="0" fontId="6" numFmtId="164" fillId="0" borderId="2" applyFont="1" applyNumberFormat="1" applyFill="0" applyBorder="1" applyAlignment="1">
      <alignment vertical="center" textRotation="0" wrapText="true" shrinkToFit="false"/>
    </xf>
    <xf xfId="0" fontId="3" numFmtId="165" fillId="0" borderId="2" applyFont="1" applyNumberFormat="1" applyFill="0" applyBorder="1" applyAlignment="1">
      <alignment vertical="center" textRotation="0" wrapText="true" shrinkToFit="false"/>
    </xf>
    <xf xfId="0" fontId="1" numFmtId="46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tru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7" numFmtId="46" fillId="0" borderId="2" applyFont="1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afc4f4f4bc7b24b0dc338bde940f31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8afc4f4f4bc7b24b0dc338bde940f317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8afc4f4f4bc7b24b0dc338bde940f317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8afc4f4f4bc7b24b0dc338bde940f3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323850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4">
      <selection activeCell="H13" sqref="H13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10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10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10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10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10</v>
      </c>
      <c r="C9" s="7" t="s">
        <v>11</v>
      </c>
      <c r="D9" s="6">
        <v>0.25694444444444</v>
      </c>
      <c r="E9" s="6">
        <v>0.51180555555556</v>
      </c>
      <c r="F9" s="4">
        <f>E9-D9</f>
        <v>0.25486111111112</v>
      </c>
      <c r="G9" s="6">
        <v>0.55555555555556</v>
      </c>
      <c r="H9" s="6">
        <v>0.71736111111111</v>
      </c>
      <c r="I9" s="4">
        <f>H9-G9</f>
        <v>0.16180555555555</v>
      </c>
      <c r="J9" s="5">
        <f>SUM(I9,F9)</f>
        <v>0.41666666666667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10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10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10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10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10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10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10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10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10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10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10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10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10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10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10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2.08333333333332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0"/>
  <sheetViews>
    <sheetView tabSelected="1" workbookViewId="0" zoomScale="141" showGridLines="true" showRowColHeaders="1">
      <selection activeCell="J19" sqref="J1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9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13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26">
        <v>46046.77223084490834</v>
      </c>
      <c r="B4" s="29" t="s">
        <v>14</v>
      </c>
      <c r="C4" s="29" t="s">
        <v>15</v>
      </c>
      <c r="D4" s="27">
        <v>0</v>
      </c>
      <c r="E4" s="27">
        <v>0</v>
      </c>
      <c r="F4" s="28">
        <f>E4-D4</f>
        <v>0</v>
      </c>
      <c r="G4" s="27">
        <v>46046.77223084490834</v>
      </c>
      <c r="H4" s="27">
        <v>46046.77225399305462</v>
      </c>
      <c r="I4" s="28">
        <f>H4-G4</f>
        <v>2.3148146283347E-5</v>
      </c>
      <c r="J4" s="28">
        <f>SUM(F4,I4)</f>
        <v>2.3148146283347E-5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26">
        <v>46046.77230211805727</v>
      </c>
      <c r="B5" s="31" t="s">
        <v>14</v>
      </c>
      <c r="C5" s="31" t="s">
        <v>15</v>
      </c>
      <c r="D5" s="30">
        <v>0</v>
      </c>
      <c r="E5" s="30">
        <v>0</v>
      </c>
      <c r="F5" s="32">
        <f>E5-D5</f>
        <v>0</v>
      </c>
      <c r="G5" s="30">
        <v>46046.77230211805727</v>
      </c>
      <c r="H5" s="30">
        <v>46046.77232526620355</v>
      </c>
      <c r="I5" s="32">
        <f>H5-G5</f>
        <v>2.3148146283347E-5</v>
      </c>
      <c r="J5" s="32">
        <f>SUM(F5,I5)</f>
        <v>2.3148146283347E-5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26">
        <v>46046.77247520833043</v>
      </c>
      <c r="B6" s="31" t="s">
        <v>14</v>
      </c>
      <c r="C6" s="31" t="s">
        <v>15</v>
      </c>
      <c r="D6" s="30">
        <v>0</v>
      </c>
      <c r="E6" s="30">
        <v>0</v>
      </c>
      <c r="F6" s="32">
        <f>E6-D6</f>
        <v>0</v>
      </c>
      <c r="G6" s="30">
        <v>46046.77247520833043</v>
      </c>
      <c r="H6" s="30">
        <v>46046.77252150463028</v>
      </c>
      <c r="I6" s="32">
        <f>H6-G6</f>
        <v>4.6296299842652E-5</v>
      </c>
      <c r="J6" s="32">
        <f>SUM(F6,I6)</f>
        <v>4.6296299842652E-5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26">
        <v>46046.77256269675854</v>
      </c>
      <c r="B7" s="31" t="s">
        <v>14</v>
      </c>
      <c r="C7" s="31" t="s">
        <v>15</v>
      </c>
      <c r="D7" s="30">
        <v>0</v>
      </c>
      <c r="E7" s="30">
        <v>0</v>
      </c>
      <c r="F7" s="32">
        <f>E7-D7</f>
        <v>0</v>
      </c>
      <c r="G7" s="30">
        <v>46046.77256269675854</v>
      </c>
      <c r="H7" s="30">
        <v>46046.77258584490482</v>
      </c>
      <c r="I7" s="32">
        <f>H7-G7</f>
        <v>2.3148146283347E-5</v>
      </c>
      <c r="J7" s="32">
        <f>SUM(F7,I7)</f>
        <v>2.3148146283347E-5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26">
        <v>46046.79830942129774</v>
      </c>
      <c r="B8" s="31" t="s">
        <v>14</v>
      </c>
      <c r="C8" s="31" t="s">
        <v>15</v>
      </c>
      <c r="D8" s="30">
        <v>0</v>
      </c>
      <c r="E8" s="30">
        <v>0</v>
      </c>
      <c r="F8" s="32">
        <f>E8-D8</f>
        <v>0</v>
      </c>
      <c r="G8" s="30">
        <v>46046.79830942129774</v>
      </c>
      <c r="H8" s="30">
        <v>46046.79852932870563</v>
      </c>
      <c r="I8" s="32">
        <f>H8-G8</f>
        <v>0.00021990740788169</v>
      </c>
      <c r="J8" s="32">
        <f>SUM(F8,I8)</f>
        <v>0.00021990740788169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26">
        <v>46046.8006611342571</v>
      </c>
      <c r="B9" s="31" t="s">
        <v>14</v>
      </c>
      <c r="C9" s="31" t="s">
        <v>15</v>
      </c>
      <c r="D9" s="30">
        <v>0</v>
      </c>
      <c r="E9" s="30">
        <v>0</v>
      </c>
      <c r="F9" s="32">
        <f>E9-D9</f>
        <v>0</v>
      </c>
      <c r="G9" s="30">
        <v>46046.8006611342571</v>
      </c>
      <c r="H9" s="30">
        <v>46046.80093891203433</v>
      </c>
      <c r="I9" s="32">
        <f>H9-G9</f>
        <v>0.00027777777722804</v>
      </c>
      <c r="J9" s="32">
        <f>SUM(F9,I9)</f>
        <v>0.00027777777722804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26">
        <v>46046.80099550925661</v>
      </c>
      <c r="B10" s="31" t="s">
        <v>14</v>
      </c>
      <c r="C10" s="31" t="s">
        <v>15</v>
      </c>
      <c r="D10" s="30">
        <v>0</v>
      </c>
      <c r="E10" s="30">
        <v>0</v>
      </c>
      <c r="F10" s="32">
        <f>E10-D10</f>
        <v>0</v>
      </c>
      <c r="G10" s="30">
        <v>46046.80099550925661</v>
      </c>
      <c r="H10" s="30">
        <v>46046.80103023147967</v>
      </c>
      <c r="I10" s="32">
        <f>H10-G10</f>
        <v>3.4722223063E-5</v>
      </c>
      <c r="J10" s="32">
        <f>SUM(F10,I10)</f>
        <v>3.4722223063E-5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26">
        <v>46046.80147746527655</v>
      </c>
      <c r="B11" s="31" t="s">
        <v>14</v>
      </c>
      <c r="C11" s="31" t="s">
        <v>15</v>
      </c>
      <c r="D11" s="30">
        <v>0</v>
      </c>
      <c r="E11" s="30">
        <v>0</v>
      </c>
      <c r="F11" s="32">
        <f>E11-D11</f>
        <v>0</v>
      </c>
      <c r="G11" s="30">
        <v>46046.80147746527655</v>
      </c>
      <c r="H11" s="30">
        <v>46046.80163950231508</v>
      </c>
      <c r="I11" s="32">
        <f>H11-G11</f>
        <v>0.00016203703853535</v>
      </c>
      <c r="J11" s="32">
        <f>SUM(F11,I11)</f>
        <v>0.00016203703853535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26">
        <v>46046.80165771990869</v>
      </c>
      <c r="B12" s="31" t="s">
        <v>14</v>
      </c>
      <c r="C12" s="31" t="s">
        <v>15</v>
      </c>
      <c r="D12" s="30">
        <v>0</v>
      </c>
      <c r="E12" s="30">
        <v>0</v>
      </c>
      <c r="F12" s="32">
        <f>E12-D12</f>
        <v>0</v>
      </c>
      <c r="G12" s="30">
        <v>46046.80165771990869</v>
      </c>
      <c r="H12" s="30">
        <v>46046.8017503125011</v>
      </c>
      <c r="I12" s="32">
        <f>H12-G12</f>
        <v>9.2592592409346E-5</v>
      </c>
      <c r="J12" s="32">
        <f>SUM(F12,I12)</f>
        <v>9.2592592409346E-5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26">
        <v>46046.80176599536935</v>
      </c>
      <c r="B13" s="31" t="s">
        <v>14</v>
      </c>
      <c r="C13" s="31" t="s">
        <v>16</v>
      </c>
      <c r="D13" s="30">
        <v>0</v>
      </c>
      <c r="E13" s="30">
        <v>0</v>
      </c>
      <c r="F13" s="32">
        <f>E13-D13</f>
        <v>0</v>
      </c>
      <c r="G13" s="30">
        <v>46046.80176599536935</v>
      </c>
      <c r="H13" s="30">
        <v>46046.80217108796205</v>
      </c>
      <c r="I13" s="32">
        <f>H13-G13</f>
        <v>0.00040509259270038</v>
      </c>
      <c r="J13" s="32">
        <f>SUM(F13,I13)</f>
        <v>0.00040509259270038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4.25">
      <c r="A14" s="26">
        <v>46046.80243827546656</v>
      </c>
      <c r="B14" s="31" t="s">
        <v>14</v>
      </c>
      <c r="C14" s="31" t="s">
        <v>15</v>
      </c>
      <c r="D14" s="30">
        <v>0</v>
      </c>
      <c r="E14" s="30">
        <v>0</v>
      </c>
      <c r="F14" s="32">
        <f>E14-D14</f>
        <v>0</v>
      </c>
      <c r="G14" s="30">
        <v>46046.80243827546656</v>
      </c>
      <c r="H14" s="30">
        <v>46046.80253086805897</v>
      </c>
      <c r="I14" s="32">
        <f>H14-G14</f>
        <v>9.2592592409346E-5</v>
      </c>
      <c r="J14" s="32">
        <f>SUM(F14,I14)</f>
        <v>9.2592592409346E-5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4.25">
      <c r="A15" s="26">
        <v>46046.80254951388633</v>
      </c>
      <c r="B15" s="31" t="s">
        <v>14</v>
      </c>
      <c r="C15" s="31" t="s">
        <v>15</v>
      </c>
      <c r="D15" s="30">
        <v>0</v>
      </c>
      <c r="E15" s="30">
        <v>0</v>
      </c>
      <c r="F15" s="32">
        <f>E15-D15</f>
        <v>0</v>
      </c>
      <c r="G15" s="30">
        <v>46046.80254951388633</v>
      </c>
      <c r="H15" s="30">
        <v>46046.80260738425568</v>
      </c>
      <c r="I15" s="32">
        <f>H15-G15</f>
        <v>5.7870369346347E-5</v>
      </c>
      <c r="J15" s="32">
        <f>SUM(F15,I15)</f>
        <v>5.7870369346347E-5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26">
        <v>46046.80703333333076</v>
      </c>
      <c r="B16" s="31" t="s">
        <v>14</v>
      </c>
      <c r="C16" s="31" t="s">
        <v>15</v>
      </c>
      <c r="D16" s="30">
        <v>0</v>
      </c>
      <c r="E16" s="30">
        <v>0</v>
      </c>
      <c r="F16" s="32">
        <f>E16-D16</f>
        <v>0</v>
      </c>
      <c r="G16" s="30">
        <v>46046.80703333333076</v>
      </c>
      <c r="H16" s="30">
        <v>46046.80706805555383</v>
      </c>
      <c r="I16" s="32">
        <f>H16-G16</f>
        <v>3.4722223063E-5</v>
      </c>
      <c r="J16" s="32">
        <f>SUM(F16,I16)</f>
        <v>3.4722223063E-5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26">
        <v>46046.80709961805405</v>
      </c>
      <c r="B17" s="31" t="s">
        <v>14</v>
      </c>
      <c r="C17" s="31" t="s">
        <v>15</v>
      </c>
      <c r="D17" s="30">
        <v>0</v>
      </c>
      <c r="E17" s="30">
        <v>0</v>
      </c>
      <c r="F17" s="32">
        <f>E17-D17</f>
        <v>0</v>
      </c>
      <c r="G17" s="30">
        <v>46046.80709961805405</v>
      </c>
      <c r="H17" s="30">
        <v>46046.80731952546193</v>
      </c>
      <c r="I17" s="32">
        <f>H17-G17</f>
        <v>0.00021990740788169</v>
      </c>
      <c r="J17" s="32">
        <f>SUM(F17,I17)</f>
        <v>0.00021990740788169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26">
        <v>46046.80755767360824</v>
      </c>
      <c r="B18" s="31" t="s">
        <v>14</v>
      </c>
      <c r="C18" s="31" t="s">
        <v>15</v>
      </c>
      <c r="D18" s="30">
        <v>0</v>
      </c>
      <c r="E18" s="30">
        <v>0</v>
      </c>
      <c r="F18" s="32">
        <f>E18-D18</f>
        <v>0</v>
      </c>
      <c r="G18" s="30">
        <v>46046.80755767360824</v>
      </c>
      <c r="H18" s="30">
        <v>46046.80759239583131</v>
      </c>
      <c r="I18" s="32">
        <f>H18-G18</f>
        <v>3.4722223063E-5</v>
      </c>
      <c r="J18" s="32">
        <f>SUM(F18,I18)</f>
        <v>3.4722223063E-5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9"/>
      <c r="B19" s="9"/>
      <c r="C19" s="9"/>
      <c r="D19" s="9"/>
      <c r="E19" s="9"/>
      <c r="F19" s="9"/>
      <c r="G19" s="9"/>
      <c r="H19" s="9"/>
      <c r="I19" s="10" t="s">
        <v>12</v>
      </c>
      <c r="J19" s="11">
        <f>SUM(J4:J18)</f>
        <v>0.0017476851862739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12"/>
      <c r="B20" s="12"/>
      <c r="C20" s="12"/>
      <c r="D20" s="12"/>
      <c r="E20" s="12"/>
      <c r="F20" s="12"/>
      <c r="G20" s="12"/>
      <c r="H20" s="12"/>
      <c r="I20" s="13"/>
      <c r="J20" s="14"/>
    </row>
    <row r="21" spans="1:25" customHeight="1" ht="14.25"/>
    <row r="22" spans="1:25" customHeight="1" ht="14.25"/>
    <row r="23" spans="1:25" customHeight="1" ht="14.25"/>
    <row r="24" spans="1:25" customHeight="1" ht="14.25"/>
    <row r="25" spans="1:25" customHeight="1" ht="14.25"/>
    <row r="26" spans="1:25" customHeight="1" ht="14.25"/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>
      <c r="B1000" s="15"/>
      <c r="C1000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2">
      <selection activeCell="E12" sqref="E12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17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17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17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17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17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0.54652777777778</v>
      </c>
      <c r="H8" s="6">
        <v>0.75</v>
      </c>
      <c r="I8" s="4">
        <f>H8-G8</f>
        <v>0.20347222222222</v>
      </c>
      <c r="J8" s="5">
        <f>SUM(I8,F8)</f>
        <v>0.32847222222222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17</v>
      </c>
      <c r="C9" s="7" t="s">
        <v>11</v>
      </c>
      <c r="D9" s="6"/>
      <c r="E9" s="6"/>
      <c r="F9" s="4">
        <f>E9-D9</f>
        <v>0</v>
      </c>
      <c r="G9" s="6"/>
      <c r="H9" s="6"/>
      <c r="I9" s="4">
        <f>H9-G9</f>
        <v>0</v>
      </c>
      <c r="J9" s="5">
        <f>SUM(I9,F9)</f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17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17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17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17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17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17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17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17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17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17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17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17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17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17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17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1.66180555555554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>
      <selection activeCell="D9" sqref="D9:E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18</v>
      </c>
      <c r="C4" s="7" t="s">
        <v>19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18</v>
      </c>
      <c r="C5" s="7" t="s">
        <v>19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18</v>
      </c>
      <c r="C6" s="7" t="s">
        <v>19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18</v>
      </c>
      <c r="C7" s="7" t="s">
        <v>19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18</v>
      </c>
      <c r="C8" s="7" t="s">
        <v>19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18</v>
      </c>
      <c r="C9" s="7" t="s">
        <v>19</v>
      </c>
      <c r="D9" s="6">
        <v>0.375</v>
      </c>
      <c r="E9" s="6">
        <v>0.5</v>
      </c>
      <c r="F9" s="4">
        <f>E9-D9</f>
        <v>0.125</v>
      </c>
      <c r="G9" s="6"/>
      <c r="H9" s="6"/>
      <c r="I9" s="4">
        <f>H9-G9</f>
        <v>0</v>
      </c>
      <c r="J9" s="5">
        <f>SUM(I9,F9)</f>
        <v>0.125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18</v>
      </c>
      <c r="C10" s="7" t="s">
        <v>19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18</v>
      </c>
      <c r="C11" s="7" t="s">
        <v>19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18</v>
      </c>
      <c r="C12" s="7" t="s">
        <v>19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18</v>
      </c>
      <c r="C13" s="7" t="s">
        <v>19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18</v>
      </c>
      <c r="C14" s="7" t="s">
        <v>19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18</v>
      </c>
      <c r="C15" s="7" t="s">
        <v>19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18</v>
      </c>
      <c r="C16" s="7" t="s">
        <v>19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18</v>
      </c>
      <c r="C17" s="7" t="s">
        <v>19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18</v>
      </c>
      <c r="C18" s="7" t="s">
        <v>19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18</v>
      </c>
      <c r="C19" s="7" t="s">
        <v>19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18</v>
      </c>
      <c r="C20" s="7" t="s">
        <v>19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18</v>
      </c>
      <c r="C21" s="7" t="s">
        <v>19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18</v>
      </c>
      <c r="C22" s="7" t="s">
        <v>19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18</v>
      </c>
      <c r="C23" s="7" t="s">
        <v>19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18</v>
      </c>
      <c r="C24" s="7" t="s">
        <v>19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1.79166666666665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Joilson</vt:lpstr>
      <vt:lpstr>Atividades</vt:lpstr>
      <vt:lpstr>Rafael</vt:lpstr>
      <vt:lpstr>Luciano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 Company</dc:creator>
  <cp:lastModifiedBy>William Deivid Pires</cp:lastModifiedBy>
  <dcterms:created xsi:type="dcterms:W3CDTF">2021-07-06T16:41:01-03:00</dcterms:created>
  <dcterms:modified xsi:type="dcterms:W3CDTF">2026-01-21T10:07:48-03:00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2023-06-02T14:03:56Z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a6217203-f326-4f3b-bf7d-d94b33dfb2d3</vt:lpwstr>
  </property>
  <property fmtid="{D5CDD505-2E9C-101B-9397-08002B2CF9AE}" pid="8" name="MSIP_Label_387f406a-379f-47ee-930c-6bec6e76f2a4_ContentBits">
    <vt:lpwstr>2</vt:lpwstr>
  </property>
  <property fmtid="{D5CDD505-2E9C-101B-9397-08002B2CF9AE}" pid="9" name="ContentTypeId">
    <vt:lpwstr>0x0101006E79C1762D4DB04CB8915B65E7A99B98</vt:lpwstr>
  </property>
  <property fmtid="{D5CDD505-2E9C-101B-9397-08002B2CF9AE}" pid="10" name="Order">
    <vt:r8>7900.000000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