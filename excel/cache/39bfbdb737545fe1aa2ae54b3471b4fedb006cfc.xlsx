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1" minimized="false" showHorizontalScroll="true" showSheetTabs="true" showVerticalScroll="true" tabRatio="600" visibility="visible"/>
  </bookViews>
  <sheets>
    <sheet name="Joilson" sheetId="1" state="hidden" r:id="rId4"/>
    <sheet name="Atividades" sheetId="2" r:id="rId5"/>
    <sheet name="Rafael" sheetId="3" state="hidden" r:id="rId6"/>
    <sheet name="Luciano" sheetId="4" state="hidden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<sst xmlns="http://schemas.openxmlformats.org/spreadsheetml/2006/main" uniqueCount="19">
  <si>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Controle de Atividades - Herval</t>
  </si>
  <si>
    <t>Data</t>
  </si>
  <si>
    <t>Colaborador</t>
  </si>
  <si>
    <t>Atividade</t>
  </si>
  <si>
    <t>Entrada manhã</t>
  </si>
  <si>
    <t xml:space="preserve">Saída manhã </t>
  </si>
  <si>
    <t>Total</t>
  </si>
  <si>
    <t>Entrada tarde</t>
  </si>
  <si>
    <t>Saída tarde</t>
  </si>
  <si>
    <t>TotalGeral</t>
  </si>
  <si>
    <t>Joilson</t>
  </si>
  <si>
    <t>Projeto SAM</t>
  </si>
  <si>
    <t>Total:</t>
  </si>
  <si>
    <t>Controle de Atividades</t>
  </si>
  <si>
    <t>William Deivid Pires</t>
  </si>
  <si>
    <t>Teste</t>
  </si>
  <si>
    <t>Rafael</t>
  </si>
  <si>
    <t>Luciano</t>
  </si>
  <si>
    <t>Projeto SAM - Automação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</si>
</sst>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hh:mm:ss"/>
  </numFmts>
  <fonts count="8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theme="1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FFFFFF"/>
      <name val="Calibri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21" fillId="0" borderId="2" applyFont="1" applyNumberFormat="1" applyFill="0" applyBorder="1" applyAlignment="1">
      <alignment vertical="center" textRotation="0" wrapText="true" shrinkToFit="false"/>
    </xf>
    <xf xfId="0" fontId="3" numFmtId="46" fillId="0" borderId="2" applyFont="1" applyNumberFormat="1" applyFill="0" applyBorder="1" applyAlignment="1">
      <alignment vertical="center" textRotation="0" wrapText="true" shrinkToFit="false"/>
    </xf>
    <xf xfId="0" fontId="3" numFmtId="21" fillId="0" borderId="2" applyFont="1" applyNumberFormat="1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14" fillId="0" borderId="2" applyFont="1" applyNumberFormat="1" applyFill="0" applyBorder="1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3" applyFont="1" applyNumberFormat="0" applyFill="0" applyBorder="1" applyAlignment="1">
      <alignment vertical="center" textRotation="0" wrapText="true" shrinkToFit="false"/>
    </xf>
    <xf xfId="0" fontId="1" numFmtId="46" fillId="0" borderId="4" applyFont="1" applyNumberFormat="1" applyFill="0" applyBorder="1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vertical="bottom" textRotation="0" wrapText="true" shrinkToFit="false"/>
    </xf>
    <xf xfId="0" fontId="3" numFmtId="46" fillId="0" borderId="0" applyFont="1" applyNumberFormat="1" applyFill="0" applyBorder="0" applyAlignment="1">
      <alignment vertical="bottom" textRotation="0" wrapText="true" shrinkToFit="false"/>
    </xf>
    <xf xfId="0" fontId="3" numFmtId="0" fillId="0" borderId="2" applyFont="1" applyNumberFormat="0" applyFill="0" applyBorder="1" applyAlignment="1">
      <alignment horizontal="center" vertical="bottom" textRotation="0" wrapText="true" shrinkToFit="false"/>
    </xf>
    <xf xfId="0" fontId="3" numFmtId="0" fillId="0" borderId="2" applyFont="1" applyNumberFormat="0" applyFill="0" applyBorder="1" applyAlignment="1">
      <alignment vertical="bottom" textRotation="0" wrapText="tru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4" numFmtId="0" fillId="0" borderId="7" applyFont="1" applyNumberFormat="0" applyFill="0" applyBorder="1" applyAlignment="0"/>
    <xf xfId="0" fontId="4" numFmtId="0" fillId="0" borderId="8" applyFont="1" applyNumberFormat="0" applyFill="0" applyBorder="1" applyAlignment="0"/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0"/>
    <xf xfId="0" fontId="4" numFmtId="0" fillId="0" borderId="10" applyFont="1" applyNumberFormat="0" applyFill="0" applyBorder="1" applyAlignment="0"/>
    <xf xfId="0" fontId="4" numFmtId="0" fillId="0" borderId="11" applyFont="1" applyNumberFormat="0" applyFill="0" applyBorder="1" applyAlignment="0"/>
    <xf xfId="0" fontId="4" numFmtId="0" fillId="0" borderId="12" applyFont="1" applyNumberFormat="0" applyFill="0" applyBorder="1" applyAlignment="0"/>
    <xf xfId="0" fontId="6" numFmtId="164" fillId="0" borderId="2" applyFont="1" applyNumberFormat="1" applyFill="0" applyBorder="1" applyAlignment="1">
      <alignment vertical="center" textRotation="0" wrapText="true" shrinkToFit="false"/>
    </xf>
    <xf xfId="0" fontId="3" numFmtId="165" fillId="0" borderId="2" applyFont="1" applyNumberFormat="1" applyFill="0" applyBorder="1" applyAlignment="1">
      <alignment vertical="center" textRotation="0" wrapText="true" shrinkToFit="false"/>
    </xf>
    <xf xfId="0" fontId="1" numFmtId="46" fillId="0" borderId="2" applyFont="1" applyNumberFormat="1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6" numFmtId="165" fillId="0" borderId="2" applyFont="1" applyNumberFormat="1" applyFill="0" applyBorder="1" applyAlignment="1">
      <alignment vertical="center" textRotation="0" wrapText="true" shrinkToFit="false"/>
    </xf>
    <xf xfId="0" fontId="6" numFmtId="164" fillId="0" borderId="2" applyFont="1" applyNumberFormat="1" applyFill="0" applyBorder="1" applyAlignment="1">
      <alignment horizontal="center" vertical="center" textRotation="0" wrapText="false" shrinkToFit="false"/>
    </xf>
    <xf xfId="0" fontId="7" numFmtId="46" fillId="0" borderId="2" applyFont="1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80aa74e7a702ebf3dd653a708636d2b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180aa74e7a702ebf3dd653a708636d2b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180aa74e7a702ebf3dd653a708636d2b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180aa74e7a702ebf3dd653a708636d2b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333375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323850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333375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333375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06"/>
  <sheetViews>
    <sheetView tabSelected="0" workbookViewId="0" showGridLines="true" showRowColHeaders="1" topLeftCell="A4">
      <selection activeCell="H13" sqref="H13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8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0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8">
        <v>44847</v>
      </c>
      <c r="B4" s="7" t="s">
        <v>10</v>
      </c>
      <c r="C4" s="7" t="s">
        <v>11</v>
      </c>
      <c r="D4" s="6">
        <v>0.375</v>
      </c>
      <c r="E4" s="6">
        <v>0.5</v>
      </c>
      <c r="F4" s="4">
        <f>E4-D4</f>
        <v>0.125</v>
      </c>
      <c r="G4" s="6">
        <v>0.54166666666667</v>
      </c>
      <c r="H4" s="6">
        <v>0.75</v>
      </c>
      <c r="I4" s="4">
        <f>H4-G4</f>
        <v>0.20833333333333</v>
      </c>
      <c r="J4" s="5">
        <f>SUM(I4,F4)</f>
        <v>0.33333333333333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8">
        <v>44848</v>
      </c>
      <c r="B5" s="7" t="s">
        <v>10</v>
      </c>
      <c r="C5" s="7" t="s">
        <v>11</v>
      </c>
      <c r="D5" s="6">
        <v>0.375</v>
      </c>
      <c r="E5" s="6">
        <v>0.5</v>
      </c>
      <c r="F5" s="4">
        <f>E5-D5</f>
        <v>0.125</v>
      </c>
      <c r="G5" s="6">
        <v>0.54166666666667</v>
      </c>
      <c r="H5" s="6">
        <v>0.75</v>
      </c>
      <c r="I5" s="4">
        <f>H5-G5</f>
        <v>0.20833333333333</v>
      </c>
      <c r="J5" s="5">
        <f>SUM(I5,F5)</f>
        <v>0.33333333333333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8">
        <v>44851</v>
      </c>
      <c r="B6" s="7" t="s">
        <v>10</v>
      </c>
      <c r="C6" s="7" t="s">
        <v>11</v>
      </c>
      <c r="D6" s="6">
        <v>0.375</v>
      </c>
      <c r="E6" s="6">
        <v>0.5</v>
      </c>
      <c r="F6" s="4">
        <f>E6-D6</f>
        <v>0.125</v>
      </c>
      <c r="G6" s="6">
        <v>0.54166666666667</v>
      </c>
      <c r="H6" s="6">
        <v>0.75</v>
      </c>
      <c r="I6" s="4">
        <f>H6-G6</f>
        <v>0.20833333333333</v>
      </c>
      <c r="J6" s="5">
        <f>SUM(I6,F6)</f>
        <v>0.33333333333333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8">
        <v>44852</v>
      </c>
      <c r="B7" s="7" t="s">
        <v>10</v>
      </c>
      <c r="C7" s="7" t="s">
        <v>11</v>
      </c>
      <c r="D7" s="6">
        <v>0.375</v>
      </c>
      <c r="E7" s="6">
        <v>0.5</v>
      </c>
      <c r="F7" s="4">
        <f>E7-D7</f>
        <v>0.125</v>
      </c>
      <c r="G7" s="6">
        <v>0.54166666666667</v>
      </c>
      <c r="H7" s="6">
        <v>0.75</v>
      </c>
      <c r="I7" s="4">
        <f>H7-G7</f>
        <v>0.20833333333333</v>
      </c>
      <c r="J7" s="5">
        <f>SUM(I7,F7)</f>
        <v>0.33333333333333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8">
        <v>44853</v>
      </c>
      <c r="B8" s="7" t="s">
        <v>10</v>
      </c>
      <c r="C8" s="7" t="s">
        <v>11</v>
      </c>
      <c r="D8" s="6">
        <v>0.375</v>
      </c>
      <c r="E8" s="6">
        <v>0.5</v>
      </c>
      <c r="F8" s="4">
        <f>E8-D8</f>
        <v>0.125</v>
      </c>
      <c r="G8" s="6">
        <v>0.54166666666667</v>
      </c>
      <c r="H8" s="6">
        <v>0.75</v>
      </c>
      <c r="I8" s="4">
        <f>H8-G8</f>
        <v>0.20833333333333</v>
      </c>
      <c r="J8" s="5">
        <f>SUM(I8,F8)</f>
        <v>0.33333333333333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8">
        <v>44854</v>
      </c>
      <c r="B9" s="7" t="s">
        <v>10</v>
      </c>
      <c r="C9" s="7" t="s">
        <v>11</v>
      </c>
      <c r="D9" s="6">
        <v>0.25694444444444</v>
      </c>
      <c r="E9" s="6">
        <v>0.51180555555556</v>
      </c>
      <c r="F9" s="4">
        <f>E9-D9</f>
        <v>0.25486111111111</v>
      </c>
      <c r="G9" s="6">
        <v>0.55555555555556</v>
      </c>
      <c r="H9" s="6">
        <v>0.71736111111111</v>
      </c>
      <c r="I9" s="4">
        <f>H9-G9</f>
        <v>0.16180555555556</v>
      </c>
      <c r="J9" s="5">
        <f>SUM(I9,F9)</f>
        <v>0.41666666666667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8">
        <v>44855</v>
      </c>
      <c r="B10" s="7" t="s">
        <v>10</v>
      </c>
      <c r="C10" s="7" t="s">
        <v>11</v>
      </c>
      <c r="D10" s="6"/>
      <c r="E10" s="6"/>
      <c r="F10" s="4">
        <f>E10-D10</f>
        <v>0</v>
      </c>
      <c r="G10" s="6"/>
      <c r="H10" s="6"/>
      <c r="I10" s="4">
        <f>H10-G10</f>
        <v>0</v>
      </c>
      <c r="J10" s="5">
        <f>SUM(I10,F10)</f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8">
        <v>44858</v>
      </c>
      <c r="B11" s="7" t="s">
        <v>10</v>
      </c>
      <c r="C11" s="7" t="s">
        <v>11</v>
      </c>
      <c r="D11" s="6"/>
      <c r="E11" s="6"/>
      <c r="F11" s="4">
        <f>E11-D11</f>
        <v>0</v>
      </c>
      <c r="G11" s="6"/>
      <c r="H11" s="6"/>
      <c r="I11" s="4">
        <f>H11-G11</f>
        <v>0</v>
      </c>
      <c r="J11" s="5">
        <f>SUM(I11,F11)</f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8">
        <v>44859</v>
      </c>
      <c r="B12" s="7" t="s">
        <v>10</v>
      </c>
      <c r="C12" s="7" t="s">
        <v>11</v>
      </c>
      <c r="D12" s="6"/>
      <c r="E12" s="6"/>
      <c r="F12" s="4">
        <f>E12-D12</f>
        <v>0</v>
      </c>
      <c r="G12" s="6"/>
      <c r="H12" s="6"/>
      <c r="I12" s="4">
        <f>H12-G12</f>
        <v>0</v>
      </c>
      <c r="J12" s="5">
        <f>SUM(I12,F12)</f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customHeight="1" ht="14.25">
      <c r="A13" s="8">
        <v>44860</v>
      </c>
      <c r="B13" s="7" t="s">
        <v>10</v>
      </c>
      <c r="C13" s="7" t="s">
        <v>11</v>
      </c>
      <c r="D13" s="6"/>
      <c r="E13" s="6"/>
      <c r="F13" s="4">
        <f>E13-D13</f>
        <v>0</v>
      </c>
      <c r="G13" s="6"/>
      <c r="H13" s="6"/>
      <c r="I13" s="4">
        <f>H13-G13</f>
        <v>0</v>
      </c>
      <c r="J13" s="5">
        <f>SUM(I13,F13)</f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customHeight="1" ht="13.5">
      <c r="A14" s="8">
        <v>44861</v>
      </c>
      <c r="B14" s="7" t="s">
        <v>10</v>
      </c>
      <c r="C14" s="7" t="s">
        <v>11</v>
      </c>
      <c r="D14" s="6"/>
      <c r="E14" s="6"/>
      <c r="F14" s="4">
        <f>E14-D14</f>
        <v>0</v>
      </c>
      <c r="G14" s="6"/>
      <c r="H14" s="6"/>
      <c r="I14" s="4">
        <f>H14-G14</f>
        <v>0</v>
      </c>
      <c r="J14" s="5">
        <f>SUM(I14,F14)</f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customHeight="1" ht="13.5">
      <c r="A15" s="8">
        <v>44862</v>
      </c>
      <c r="B15" s="7" t="s">
        <v>10</v>
      </c>
      <c r="C15" s="7" t="s">
        <v>11</v>
      </c>
      <c r="D15" s="6"/>
      <c r="E15" s="6"/>
      <c r="F15" s="4">
        <f>E15-D15</f>
        <v>0</v>
      </c>
      <c r="G15" s="6"/>
      <c r="H15" s="6"/>
      <c r="I15" s="4">
        <f>H15-G15</f>
        <v>0</v>
      </c>
      <c r="J15" s="5">
        <f>SUM(I15,F15)</f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customHeight="1" ht="14.25">
      <c r="A16" s="8">
        <v>44865</v>
      </c>
      <c r="B16" s="7" t="s">
        <v>10</v>
      </c>
      <c r="C16" s="7" t="s">
        <v>11</v>
      </c>
      <c r="D16" s="6"/>
      <c r="E16" s="6"/>
      <c r="F16" s="4">
        <f>E16-D16</f>
        <v>0</v>
      </c>
      <c r="G16" s="6"/>
      <c r="H16" s="6"/>
      <c r="I16" s="4">
        <f>H16-G16</f>
        <v>0</v>
      </c>
      <c r="J16" s="5">
        <f>SUM(I16,F16)</f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customHeight="1" ht="14.25">
      <c r="A17" s="8">
        <v>44866</v>
      </c>
      <c r="B17" s="7" t="s">
        <v>10</v>
      </c>
      <c r="C17" s="7" t="s">
        <v>11</v>
      </c>
      <c r="D17" s="6"/>
      <c r="E17" s="6"/>
      <c r="F17" s="4">
        <f>E17-D17</f>
        <v>0</v>
      </c>
      <c r="G17" s="6"/>
      <c r="H17" s="6"/>
      <c r="I17" s="4">
        <f>H17-G17</f>
        <v>0</v>
      </c>
      <c r="J17" s="5">
        <f>SUM(I17,F17)</f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customHeight="1" ht="14.25">
      <c r="A18" s="8">
        <v>44868</v>
      </c>
      <c r="B18" s="7" t="s">
        <v>10</v>
      </c>
      <c r="C18" s="7" t="s">
        <v>11</v>
      </c>
      <c r="D18" s="6"/>
      <c r="E18" s="6"/>
      <c r="F18" s="4">
        <f>E18-D18</f>
        <v>0</v>
      </c>
      <c r="G18" s="6"/>
      <c r="H18" s="6"/>
      <c r="I18" s="4">
        <f>H18-G18</f>
        <v>0</v>
      </c>
      <c r="J18" s="5">
        <f>SUM(I18,F18)</f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customHeight="1" ht="14.25">
      <c r="A19" s="8">
        <v>44869</v>
      </c>
      <c r="B19" s="7" t="s">
        <v>10</v>
      </c>
      <c r="C19" s="7" t="s">
        <v>11</v>
      </c>
      <c r="D19" s="6"/>
      <c r="E19" s="6"/>
      <c r="F19" s="4">
        <f>E19-D19</f>
        <v>0</v>
      </c>
      <c r="G19" s="6"/>
      <c r="H19" s="6"/>
      <c r="I19" s="4">
        <f>H19-G19</f>
        <v>0</v>
      </c>
      <c r="J19" s="5">
        <f>SUM(I19,F19)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customHeight="1" ht="14.25">
      <c r="A20" s="8">
        <v>44841</v>
      </c>
      <c r="B20" s="7" t="s">
        <v>10</v>
      </c>
      <c r="C20" s="7" t="s">
        <v>11</v>
      </c>
      <c r="D20" s="6"/>
      <c r="E20" s="6"/>
      <c r="F20" s="4">
        <f>E20-D20</f>
        <v>0</v>
      </c>
      <c r="G20" s="6"/>
      <c r="H20" s="6"/>
      <c r="I20" s="4">
        <f>H20-G20</f>
        <v>0</v>
      </c>
      <c r="J20" s="5">
        <f>SUM(I20,F20)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customHeight="1" ht="14.25">
      <c r="A21" s="8">
        <v>44842</v>
      </c>
      <c r="B21" s="7" t="s">
        <v>10</v>
      </c>
      <c r="C21" s="7" t="s">
        <v>11</v>
      </c>
      <c r="D21" s="6"/>
      <c r="E21" s="6"/>
      <c r="F21" s="4">
        <f>E21-D21</f>
        <v>0</v>
      </c>
      <c r="G21" s="6"/>
      <c r="H21" s="6"/>
      <c r="I21" s="4">
        <f>H21-G21</f>
        <v>0</v>
      </c>
      <c r="J21" s="5">
        <f>SUM(I21,F21)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customHeight="1" ht="14.25">
      <c r="A22" s="8">
        <v>44843</v>
      </c>
      <c r="B22" s="7" t="s">
        <v>10</v>
      </c>
      <c r="C22" s="7" t="s">
        <v>11</v>
      </c>
      <c r="D22" s="6"/>
      <c r="E22" s="6"/>
      <c r="F22" s="4">
        <f>E22-D22</f>
        <v>0</v>
      </c>
      <c r="G22" s="6"/>
      <c r="H22" s="6"/>
      <c r="I22" s="4">
        <f>H22-G22</f>
        <v>0</v>
      </c>
      <c r="J22" s="5">
        <f>SUM(I22,F22)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customHeight="1" ht="14.25">
      <c r="A23" s="8">
        <v>44844</v>
      </c>
      <c r="B23" s="7" t="s">
        <v>10</v>
      </c>
      <c r="C23" s="7" t="s">
        <v>11</v>
      </c>
      <c r="D23" s="6"/>
      <c r="E23" s="6"/>
      <c r="F23" s="4">
        <f>E23-D23</f>
        <v>0</v>
      </c>
      <c r="G23" s="6"/>
      <c r="H23" s="6"/>
      <c r="I23" s="4">
        <f>H23-G23</f>
        <v>0</v>
      </c>
      <c r="J23" s="5">
        <f>SUM(I23,F23)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customHeight="1" ht="14.25">
      <c r="A24" s="8">
        <v>44845</v>
      </c>
      <c r="B24" s="7" t="s">
        <v>10</v>
      </c>
      <c r="C24" s="7" t="s">
        <v>11</v>
      </c>
      <c r="D24" s="6"/>
      <c r="E24" s="6"/>
      <c r="F24" s="4">
        <f>E24-D24</f>
        <v>0</v>
      </c>
      <c r="G24" s="6"/>
      <c r="H24" s="6"/>
      <c r="I24" s="4">
        <f>H24-G24</f>
        <v>0</v>
      </c>
      <c r="J24" s="5">
        <f>SUM(I24,F24)</f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customHeight="1" ht="14.25">
      <c r="A25" s="9"/>
      <c r="B25" s="9"/>
      <c r="C25" s="9"/>
      <c r="D25" s="9"/>
      <c r="E25" s="9"/>
      <c r="F25" s="9"/>
      <c r="G25" s="9"/>
      <c r="H25" s="9"/>
      <c r="I25" s="10" t="s">
        <v>12</v>
      </c>
      <c r="J25" s="11">
        <f>SUM(J4:J24)</f>
        <v>2.083333333333333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customHeight="1" ht="14.25">
      <c r="A26" s="12"/>
      <c r="B26" s="12"/>
      <c r="C26" s="12"/>
      <c r="D26" s="12"/>
      <c r="E26" s="12"/>
      <c r="F26" s="12"/>
      <c r="G26" s="12"/>
      <c r="H26" s="12"/>
      <c r="I26" s="13"/>
      <c r="J26" s="14"/>
    </row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/>
    <row r="993" spans="1:25" customHeight="1" ht="14.25"/>
    <row r="994" spans="1:25" customHeight="1" ht="14.25"/>
    <row r="995" spans="1:25" customHeight="1" ht="14.25"/>
    <row r="996" spans="1:25" customHeight="1" ht="14.25"/>
    <row r="997" spans="1:25" customHeight="1" ht="14.25"/>
    <row r="998" spans="1:25" customHeight="1" ht="14.25"/>
    <row r="999" spans="1:25" customHeight="1" ht="14.25"/>
    <row r="1000" spans="1:25" customHeight="1" ht="14.25"/>
    <row r="1001" spans="1:25" customHeight="1" ht="14.25"/>
    <row r="1002" spans="1:25" customHeight="1" ht="14.25"/>
    <row r="1003" spans="1:25" customHeight="1" ht="14.25"/>
    <row r="1004" spans="1:25" customHeight="1" ht="14.25"/>
    <row r="1005" spans="1:25" customHeight="1" ht="14.25"/>
    <row r="1006" spans="1:25" customHeight="1" ht="14.25">
      <c r="B1006" s="15"/>
      <c r="C1006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987"/>
  <sheetViews>
    <sheetView tabSelected="1" workbookViewId="0" zoomScale="141" showGridLines="true" showRowColHeaders="1">
      <selection activeCell="J6" sqref="J6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9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13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26">
        <v>46072.37749858796451</v>
      </c>
      <c r="B4" s="29" t="s">
        <v>14</v>
      </c>
      <c r="C4" s="29" t="s">
        <v>15</v>
      </c>
      <c r="D4" s="27">
        <v>46072.37749858796451</v>
      </c>
      <c r="E4" s="27">
        <v>46072.37760275462642</v>
      </c>
      <c r="F4" s="28">
        <f>E4-D4</f>
        <v>0.00010416666191304</v>
      </c>
      <c r="G4" s="27">
        <v>0</v>
      </c>
      <c r="H4" s="27">
        <v>0</v>
      </c>
      <c r="I4" s="28">
        <f>H4-G4</f>
        <v>0</v>
      </c>
      <c r="J4" s="28">
        <f>SUM(F4,I4)</f>
        <v>0.00010416666191304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26">
        <v>46073.37996350694448</v>
      </c>
      <c r="B5" s="31" t="s">
        <v>14</v>
      </c>
      <c r="C5" s="31" t="s">
        <v>15</v>
      </c>
      <c r="D5" s="30">
        <v>46073.37996350694448</v>
      </c>
      <c r="E5" s="30">
        <v>46073.38017184027558</v>
      </c>
      <c r="F5" s="32">
        <f>E5-D5</f>
        <v>0.00020833333110204</v>
      </c>
      <c r="G5" s="30">
        <v>0</v>
      </c>
      <c r="H5" s="30">
        <v>0</v>
      </c>
      <c r="I5" s="32">
        <f>H5-G5</f>
        <v>0</v>
      </c>
      <c r="J5" s="32">
        <f>SUM(F5,I5)</f>
        <v>0.00020833333110204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9"/>
      <c r="B6" s="9"/>
      <c r="C6" s="9"/>
      <c r="D6" s="9"/>
      <c r="E6" s="9"/>
      <c r="F6" s="9"/>
      <c r="G6" s="9"/>
      <c r="H6" s="9"/>
      <c r="I6" s="10" t="s">
        <v>12</v>
      </c>
      <c r="J6" s="11">
        <f>SUM(J4:J5)</f>
        <v>0.00031249999301508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12"/>
      <c r="B7" s="12"/>
      <c r="C7" s="12"/>
      <c r="D7" s="12"/>
      <c r="E7" s="12"/>
      <c r="F7" s="12"/>
      <c r="G7" s="12"/>
      <c r="H7" s="12"/>
      <c r="I7" s="13"/>
      <c r="J7" s="14"/>
    </row>
    <row r="8" spans="1:25" customHeight="1" ht="14.25"/>
    <row r="9" spans="1:25" customHeight="1" ht="14.25"/>
    <row r="10" spans="1:25" customHeight="1" ht="14.25"/>
    <row r="11" spans="1:25" customHeight="1" ht="14.25"/>
    <row r="12" spans="1:25" customHeight="1" ht="14.25"/>
    <row r="13" spans="1:25" customHeight="1" ht="14.25"/>
    <row r="14" spans="1:25" customHeight="1" ht="14.25"/>
    <row r="15" spans="1:25" customHeight="1" ht="14.25"/>
    <row r="16" spans="1:25" customHeight="1" ht="14.25"/>
    <row r="17" spans="1:25" customHeight="1" ht="14.25"/>
    <row r="18" spans="1:25" customHeight="1" ht="14.25"/>
    <row r="19" spans="1:25" customHeight="1" ht="14.25"/>
    <row r="20" spans="1:25" customHeight="1" ht="14.25"/>
    <row r="21" spans="1:25" customHeight="1" ht="14.25"/>
    <row r="22" spans="1:25" customHeight="1" ht="14.25"/>
    <row r="23" spans="1:25" customHeight="1" ht="14.25"/>
    <row r="24" spans="1:25" customHeight="1" ht="14.25"/>
    <row r="25" spans="1:25" customHeight="1" ht="14.25"/>
    <row r="26" spans="1:25" customHeight="1" ht="14.25"/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>
      <c r="B987" s="15"/>
      <c r="C987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06"/>
  <sheetViews>
    <sheetView tabSelected="0" workbookViewId="0" showGridLines="true" showRowColHeaders="1" topLeftCell="A2">
      <selection activeCell="E12" sqref="E12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8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0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8">
        <v>44847</v>
      </c>
      <c r="B4" s="7" t="s">
        <v>16</v>
      </c>
      <c r="C4" s="7" t="s">
        <v>11</v>
      </c>
      <c r="D4" s="6">
        <v>0.375</v>
      </c>
      <c r="E4" s="6">
        <v>0.5</v>
      </c>
      <c r="F4" s="4">
        <f>E4-D4</f>
        <v>0.125</v>
      </c>
      <c r="G4" s="6">
        <v>0.54166666666667</v>
      </c>
      <c r="H4" s="6">
        <v>0.75</v>
      </c>
      <c r="I4" s="4">
        <f>H4-G4</f>
        <v>0.20833333333333</v>
      </c>
      <c r="J4" s="5">
        <f>SUM(I4,F4)</f>
        <v>0.33333333333333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8">
        <v>44848</v>
      </c>
      <c r="B5" s="7" t="s">
        <v>16</v>
      </c>
      <c r="C5" s="7" t="s">
        <v>11</v>
      </c>
      <c r="D5" s="6">
        <v>0.375</v>
      </c>
      <c r="E5" s="6">
        <v>0.5</v>
      </c>
      <c r="F5" s="4">
        <f>E5-D5</f>
        <v>0.125</v>
      </c>
      <c r="G5" s="6">
        <v>0.54166666666667</v>
      </c>
      <c r="H5" s="6">
        <v>0.75</v>
      </c>
      <c r="I5" s="4">
        <f>H5-G5</f>
        <v>0.20833333333333</v>
      </c>
      <c r="J5" s="5">
        <f>SUM(I5,F5)</f>
        <v>0.33333333333333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8">
        <v>44851</v>
      </c>
      <c r="B6" s="7" t="s">
        <v>16</v>
      </c>
      <c r="C6" s="7" t="s">
        <v>11</v>
      </c>
      <c r="D6" s="6">
        <v>0.375</v>
      </c>
      <c r="E6" s="6">
        <v>0.5</v>
      </c>
      <c r="F6" s="4">
        <f>E6-D6</f>
        <v>0.125</v>
      </c>
      <c r="G6" s="6">
        <v>0.54166666666667</v>
      </c>
      <c r="H6" s="6">
        <v>0.75</v>
      </c>
      <c r="I6" s="4">
        <f>H6-G6</f>
        <v>0.20833333333333</v>
      </c>
      <c r="J6" s="5">
        <f>SUM(I6,F6)</f>
        <v>0.33333333333333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8">
        <v>44852</v>
      </c>
      <c r="B7" s="7" t="s">
        <v>16</v>
      </c>
      <c r="C7" s="7" t="s">
        <v>11</v>
      </c>
      <c r="D7" s="6">
        <v>0.375</v>
      </c>
      <c r="E7" s="6">
        <v>0.5</v>
      </c>
      <c r="F7" s="4">
        <f>E7-D7</f>
        <v>0.125</v>
      </c>
      <c r="G7" s="6">
        <v>0.54166666666667</v>
      </c>
      <c r="H7" s="6">
        <v>0.75</v>
      </c>
      <c r="I7" s="4">
        <f>H7-G7</f>
        <v>0.20833333333333</v>
      </c>
      <c r="J7" s="5">
        <f>SUM(I7,F7)</f>
        <v>0.33333333333333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8">
        <v>44853</v>
      </c>
      <c r="B8" s="7" t="s">
        <v>16</v>
      </c>
      <c r="C8" s="7" t="s">
        <v>11</v>
      </c>
      <c r="D8" s="6">
        <v>0.375</v>
      </c>
      <c r="E8" s="6">
        <v>0.5</v>
      </c>
      <c r="F8" s="4">
        <f>E8-D8</f>
        <v>0.125</v>
      </c>
      <c r="G8" s="6">
        <v>0.54652777777778</v>
      </c>
      <c r="H8" s="6">
        <v>0.75</v>
      </c>
      <c r="I8" s="4">
        <f>H8-G8</f>
        <v>0.20347222222222</v>
      </c>
      <c r="J8" s="5">
        <f>SUM(I8,F8)</f>
        <v>0.32847222222222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8">
        <v>44854</v>
      </c>
      <c r="B9" s="7" t="s">
        <v>16</v>
      </c>
      <c r="C9" s="7" t="s">
        <v>11</v>
      </c>
      <c r="D9" s="6"/>
      <c r="E9" s="6"/>
      <c r="F9" s="4">
        <f>E9-D9</f>
        <v>0</v>
      </c>
      <c r="G9" s="6"/>
      <c r="H9" s="6"/>
      <c r="I9" s="4">
        <f>H9-G9</f>
        <v>0</v>
      </c>
      <c r="J9" s="5">
        <f>SUM(I9,F9)</f>
        <v>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8">
        <v>44855</v>
      </c>
      <c r="B10" s="7" t="s">
        <v>16</v>
      </c>
      <c r="C10" s="7" t="s">
        <v>11</v>
      </c>
      <c r="D10" s="6"/>
      <c r="E10" s="6"/>
      <c r="F10" s="4">
        <f>E10-D10</f>
        <v>0</v>
      </c>
      <c r="G10" s="6"/>
      <c r="H10" s="6"/>
      <c r="I10" s="4">
        <f>H10-G10</f>
        <v>0</v>
      </c>
      <c r="J10" s="5">
        <f>SUM(I10,F10)</f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8">
        <v>44858</v>
      </c>
      <c r="B11" s="7" t="s">
        <v>16</v>
      </c>
      <c r="C11" s="7" t="s">
        <v>11</v>
      </c>
      <c r="D11" s="6"/>
      <c r="E11" s="6"/>
      <c r="F11" s="4">
        <f>E11-D11</f>
        <v>0</v>
      </c>
      <c r="G11" s="6"/>
      <c r="H11" s="6"/>
      <c r="I11" s="4">
        <f>H11-G11</f>
        <v>0</v>
      </c>
      <c r="J11" s="5">
        <f>SUM(I11,F11)</f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8">
        <v>44859</v>
      </c>
      <c r="B12" s="7" t="s">
        <v>16</v>
      </c>
      <c r="C12" s="7" t="s">
        <v>11</v>
      </c>
      <c r="D12" s="6"/>
      <c r="E12" s="6"/>
      <c r="F12" s="4">
        <f>E12-D12</f>
        <v>0</v>
      </c>
      <c r="G12" s="6"/>
      <c r="H12" s="6"/>
      <c r="I12" s="4">
        <f>H12-G12</f>
        <v>0</v>
      </c>
      <c r="J12" s="5">
        <f>SUM(I12,F12)</f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customHeight="1" ht="14.25">
      <c r="A13" s="8">
        <v>44860</v>
      </c>
      <c r="B13" s="7" t="s">
        <v>16</v>
      </c>
      <c r="C13" s="7" t="s">
        <v>11</v>
      </c>
      <c r="D13" s="6"/>
      <c r="E13" s="6"/>
      <c r="F13" s="4">
        <f>E13-D13</f>
        <v>0</v>
      </c>
      <c r="G13" s="6"/>
      <c r="H13" s="6"/>
      <c r="I13" s="4">
        <f>H13-G13</f>
        <v>0</v>
      </c>
      <c r="J13" s="5">
        <f>SUM(I13,F13)</f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customHeight="1" ht="13.5">
      <c r="A14" s="8">
        <v>44861</v>
      </c>
      <c r="B14" s="7" t="s">
        <v>16</v>
      </c>
      <c r="C14" s="7" t="s">
        <v>11</v>
      </c>
      <c r="D14" s="6"/>
      <c r="E14" s="6"/>
      <c r="F14" s="4">
        <f>E14-D14</f>
        <v>0</v>
      </c>
      <c r="G14" s="6"/>
      <c r="H14" s="6"/>
      <c r="I14" s="4">
        <f>H14-G14</f>
        <v>0</v>
      </c>
      <c r="J14" s="5">
        <f>SUM(I14,F14)</f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customHeight="1" ht="13.5">
      <c r="A15" s="8">
        <v>44862</v>
      </c>
      <c r="B15" s="7" t="s">
        <v>16</v>
      </c>
      <c r="C15" s="7" t="s">
        <v>11</v>
      </c>
      <c r="D15" s="6"/>
      <c r="E15" s="6"/>
      <c r="F15" s="4">
        <f>E15-D15</f>
        <v>0</v>
      </c>
      <c r="G15" s="6"/>
      <c r="H15" s="6"/>
      <c r="I15" s="4">
        <f>H15-G15</f>
        <v>0</v>
      </c>
      <c r="J15" s="5">
        <f>SUM(I15,F15)</f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customHeight="1" ht="14.25">
      <c r="A16" s="8">
        <v>44865</v>
      </c>
      <c r="B16" s="7" t="s">
        <v>16</v>
      </c>
      <c r="C16" s="7" t="s">
        <v>11</v>
      </c>
      <c r="D16" s="6"/>
      <c r="E16" s="6"/>
      <c r="F16" s="4">
        <f>E16-D16</f>
        <v>0</v>
      </c>
      <c r="G16" s="6"/>
      <c r="H16" s="6"/>
      <c r="I16" s="4">
        <f>H16-G16</f>
        <v>0</v>
      </c>
      <c r="J16" s="5">
        <f>SUM(I16,F16)</f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customHeight="1" ht="14.25">
      <c r="A17" s="8">
        <v>44866</v>
      </c>
      <c r="B17" s="7" t="s">
        <v>16</v>
      </c>
      <c r="C17" s="7" t="s">
        <v>11</v>
      </c>
      <c r="D17" s="6"/>
      <c r="E17" s="6"/>
      <c r="F17" s="4">
        <f>E17-D17</f>
        <v>0</v>
      </c>
      <c r="G17" s="6"/>
      <c r="H17" s="6"/>
      <c r="I17" s="4">
        <f>H17-G17</f>
        <v>0</v>
      </c>
      <c r="J17" s="5">
        <f>SUM(I17,F17)</f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customHeight="1" ht="14.25">
      <c r="A18" s="8">
        <v>44868</v>
      </c>
      <c r="B18" s="7" t="s">
        <v>16</v>
      </c>
      <c r="C18" s="7" t="s">
        <v>11</v>
      </c>
      <c r="D18" s="6"/>
      <c r="E18" s="6"/>
      <c r="F18" s="4">
        <f>E18-D18</f>
        <v>0</v>
      </c>
      <c r="G18" s="6"/>
      <c r="H18" s="6"/>
      <c r="I18" s="4">
        <f>H18-G18</f>
        <v>0</v>
      </c>
      <c r="J18" s="5">
        <f>SUM(I18,F18)</f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customHeight="1" ht="14.25">
      <c r="A19" s="8">
        <v>44869</v>
      </c>
      <c r="B19" s="7" t="s">
        <v>16</v>
      </c>
      <c r="C19" s="7" t="s">
        <v>11</v>
      </c>
      <c r="D19" s="6"/>
      <c r="E19" s="6"/>
      <c r="F19" s="4">
        <f>E19-D19</f>
        <v>0</v>
      </c>
      <c r="G19" s="6"/>
      <c r="H19" s="6"/>
      <c r="I19" s="4">
        <f>H19-G19</f>
        <v>0</v>
      </c>
      <c r="J19" s="5">
        <f>SUM(I19,F19)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customHeight="1" ht="14.25">
      <c r="A20" s="8">
        <v>44841</v>
      </c>
      <c r="B20" s="7" t="s">
        <v>16</v>
      </c>
      <c r="C20" s="7" t="s">
        <v>11</v>
      </c>
      <c r="D20" s="6"/>
      <c r="E20" s="6"/>
      <c r="F20" s="4">
        <f>E20-D20</f>
        <v>0</v>
      </c>
      <c r="G20" s="6"/>
      <c r="H20" s="6"/>
      <c r="I20" s="4">
        <f>H20-G20</f>
        <v>0</v>
      </c>
      <c r="J20" s="5">
        <f>SUM(I20,F20)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customHeight="1" ht="14.25">
      <c r="A21" s="8">
        <v>44842</v>
      </c>
      <c r="B21" s="7" t="s">
        <v>16</v>
      </c>
      <c r="C21" s="7" t="s">
        <v>11</v>
      </c>
      <c r="D21" s="6"/>
      <c r="E21" s="6"/>
      <c r="F21" s="4">
        <f>E21-D21</f>
        <v>0</v>
      </c>
      <c r="G21" s="6"/>
      <c r="H21" s="6"/>
      <c r="I21" s="4">
        <f>H21-G21</f>
        <v>0</v>
      </c>
      <c r="J21" s="5">
        <f>SUM(I21,F21)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customHeight="1" ht="14.25">
      <c r="A22" s="8">
        <v>44843</v>
      </c>
      <c r="B22" s="7" t="s">
        <v>16</v>
      </c>
      <c r="C22" s="7" t="s">
        <v>11</v>
      </c>
      <c r="D22" s="6"/>
      <c r="E22" s="6"/>
      <c r="F22" s="4">
        <f>E22-D22</f>
        <v>0</v>
      </c>
      <c r="G22" s="6"/>
      <c r="H22" s="6"/>
      <c r="I22" s="4">
        <f>H22-G22</f>
        <v>0</v>
      </c>
      <c r="J22" s="5">
        <f>SUM(I22,F22)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customHeight="1" ht="14.25">
      <c r="A23" s="8">
        <v>44844</v>
      </c>
      <c r="B23" s="7" t="s">
        <v>16</v>
      </c>
      <c r="C23" s="7" t="s">
        <v>11</v>
      </c>
      <c r="D23" s="6"/>
      <c r="E23" s="6"/>
      <c r="F23" s="4">
        <f>E23-D23</f>
        <v>0</v>
      </c>
      <c r="G23" s="6"/>
      <c r="H23" s="6"/>
      <c r="I23" s="4">
        <f>H23-G23</f>
        <v>0</v>
      </c>
      <c r="J23" s="5">
        <f>SUM(I23,F23)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customHeight="1" ht="14.25">
      <c r="A24" s="8">
        <v>44845</v>
      </c>
      <c r="B24" s="7" t="s">
        <v>16</v>
      </c>
      <c r="C24" s="7" t="s">
        <v>11</v>
      </c>
      <c r="D24" s="6"/>
      <c r="E24" s="6"/>
      <c r="F24" s="4">
        <f>E24-D24</f>
        <v>0</v>
      </c>
      <c r="G24" s="6"/>
      <c r="H24" s="6"/>
      <c r="I24" s="4">
        <f>H24-G24</f>
        <v>0</v>
      </c>
      <c r="J24" s="5">
        <f>SUM(I24,F24)</f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customHeight="1" ht="14.25">
      <c r="A25" s="9"/>
      <c r="B25" s="9"/>
      <c r="C25" s="9"/>
      <c r="D25" s="9"/>
      <c r="E25" s="9"/>
      <c r="F25" s="9"/>
      <c r="G25" s="9"/>
      <c r="H25" s="9"/>
      <c r="I25" s="10" t="s">
        <v>12</v>
      </c>
      <c r="J25" s="11">
        <f>SUM(J4:J24)</f>
        <v>1.66180555555556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customHeight="1" ht="14.25">
      <c r="A26" s="12"/>
      <c r="B26" s="12"/>
      <c r="C26" s="12"/>
      <c r="D26" s="12"/>
      <c r="E26" s="12"/>
      <c r="F26" s="12"/>
      <c r="G26" s="12"/>
      <c r="H26" s="12"/>
      <c r="I26" s="13"/>
      <c r="J26" s="14"/>
    </row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/>
    <row r="993" spans="1:25" customHeight="1" ht="14.25"/>
    <row r="994" spans="1:25" customHeight="1" ht="14.25"/>
    <row r="995" spans="1:25" customHeight="1" ht="14.25"/>
    <row r="996" spans="1:25" customHeight="1" ht="14.25"/>
    <row r="997" spans="1:25" customHeight="1" ht="14.25"/>
    <row r="998" spans="1:25" customHeight="1" ht="14.25"/>
    <row r="999" spans="1:25" customHeight="1" ht="14.25"/>
    <row r="1000" spans="1:25" customHeight="1" ht="14.25"/>
    <row r="1001" spans="1:25" customHeight="1" ht="14.25"/>
    <row r="1002" spans="1:25" customHeight="1" ht="14.25"/>
    <row r="1003" spans="1:25" customHeight="1" ht="14.25"/>
    <row r="1004" spans="1:25" customHeight="1" ht="14.25"/>
    <row r="1005" spans="1:25" customHeight="1" ht="14.25"/>
    <row r="1006" spans="1:25" customHeight="1" ht="14.25">
      <c r="B1006" s="15"/>
      <c r="C1006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06"/>
  <sheetViews>
    <sheetView tabSelected="0" workbookViewId="0" showGridLines="true" showRowColHeaders="1">
      <selection activeCell="D9" sqref="D9:E9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8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0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8">
        <v>44847</v>
      </c>
      <c r="B4" s="7" t="s">
        <v>17</v>
      </c>
      <c r="C4" s="7" t="s">
        <v>18</v>
      </c>
      <c r="D4" s="6">
        <v>0.375</v>
      </c>
      <c r="E4" s="6">
        <v>0.5</v>
      </c>
      <c r="F4" s="4">
        <f>E4-D4</f>
        <v>0.125</v>
      </c>
      <c r="G4" s="6">
        <v>0.54166666666667</v>
      </c>
      <c r="H4" s="6">
        <v>0.75</v>
      </c>
      <c r="I4" s="4">
        <f>H4-G4</f>
        <v>0.20833333333333</v>
      </c>
      <c r="J4" s="5">
        <f>SUM(I4,F4)</f>
        <v>0.33333333333333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8">
        <v>44848</v>
      </c>
      <c r="B5" s="7" t="s">
        <v>17</v>
      </c>
      <c r="C5" s="7" t="s">
        <v>18</v>
      </c>
      <c r="D5" s="6">
        <v>0.375</v>
      </c>
      <c r="E5" s="6">
        <v>0.5</v>
      </c>
      <c r="F5" s="4">
        <f>E5-D5</f>
        <v>0.125</v>
      </c>
      <c r="G5" s="6">
        <v>0.54166666666667</v>
      </c>
      <c r="H5" s="6">
        <v>0.75</v>
      </c>
      <c r="I5" s="4">
        <f>H5-G5</f>
        <v>0.20833333333333</v>
      </c>
      <c r="J5" s="5">
        <f>SUM(I5,F5)</f>
        <v>0.33333333333333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8">
        <v>44851</v>
      </c>
      <c r="B6" s="7" t="s">
        <v>17</v>
      </c>
      <c r="C6" s="7" t="s">
        <v>18</v>
      </c>
      <c r="D6" s="6">
        <v>0.375</v>
      </c>
      <c r="E6" s="6">
        <v>0.5</v>
      </c>
      <c r="F6" s="4">
        <f>E6-D6</f>
        <v>0.125</v>
      </c>
      <c r="G6" s="6">
        <v>0.54166666666667</v>
      </c>
      <c r="H6" s="6">
        <v>0.75</v>
      </c>
      <c r="I6" s="4">
        <f>H6-G6</f>
        <v>0.20833333333333</v>
      </c>
      <c r="J6" s="5">
        <f>SUM(I6,F6)</f>
        <v>0.33333333333333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8">
        <v>44852</v>
      </c>
      <c r="B7" s="7" t="s">
        <v>17</v>
      </c>
      <c r="C7" s="7" t="s">
        <v>18</v>
      </c>
      <c r="D7" s="6">
        <v>0.375</v>
      </c>
      <c r="E7" s="6">
        <v>0.5</v>
      </c>
      <c r="F7" s="4">
        <f>E7-D7</f>
        <v>0.125</v>
      </c>
      <c r="G7" s="6">
        <v>0.54166666666667</v>
      </c>
      <c r="H7" s="6">
        <v>0.75</v>
      </c>
      <c r="I7" s="4">
        <f>H7-G7</f>
        <v>0.20833333333333</v>
      </c>
      <c r="J7" s="5">
        <f>SUM(I7,F7)</f>
        <v>0.33333333333333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8">
        <v>44853</v>
      </c>
      <c r="B8" s="7" t="s">
        <v>17</v>
      </c>
      <c r="C8" s="7" t="s">
        <v>18</v>
      </c>
      <c r="D8" s="6">
        <v>0.375</v>
      </c>
      <c r="E8" s="6">
        <v>0.5</v>
      </c>
      <c r="F8" s="4">
        <f>E8-D8</f>
        <v>0.125</v>
      </c>
      <c r="G8" s="6">
        <v>0.54166666666667</v>
      </c>
      <c r="H8" s="6">
        <v>0.75</v>
      </c>
      <c r="I8" s="4">
        <f>H8-G8</f>
        <v>0.20833333333333</v>
      </c>
      <c r="J8" s="5">
        <f>SUM(I8,F8)</f>
        <v>0.33333333333333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8">
        <v>44854</v>
      </c>
      <c r="B9" s="7" t="s">
        <v>17</v>
      </c>
      <c r="C9" s="7" t="s">
        <v>18</v>
      </c>
      <c r="D9" s="6">
        <v>0.375</v>
      </c>
      <c r="E9" s="6">
        <v>0.5</v>
      </c>
      <c r="F9" s="4">
        <f>E9-D9</f>
        <v>0.125</v>
      </c>
      <c r="G9" s="6"/>
      <c r="H9" s="6"/>
      <c r="I9" s="4">
        <f>H9-G9</f>
        <v>0</v>
      </c>
      <c r="J9" s="5">
        <f>SUM(I9,F9)</f>
        <v>0.125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8">
        <v>44855</v>
      </c>
      <c r="B10" s="7" t="s">
        <v>17</v>
      </c>
      <c r="C10" s="7" t="s">
        <v>18</v>
      </c>
      <c r="D10" s="6"/>
      <c r="E10" s="6"/>
      <c r="F10" s="4">
        <f>E10-D10</f>
        <v>0</v>
      </c>
      <c r="G10" s="6"/>
      <c r="H10" s="6"/>
      <c r="I10" s="4">
        <f>H10-G10</f>
        <v>0</v>
      </c>
      <c r="J10" s="5">
        <f>SUM(I10,F10)</f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8">
        <v>44858</v>
      </c>
      <c r="B11" s="7" t="s">
        <v>17</v>
      </c>
      <c r="C11" s="7" t="s">
        <v>18</v>
      </c>
      <c r="D11" s="6"/>
      <c r="E11" s="6"/>
      <c r="F11" s="4">
        <f>E11-D11</f>
        <v>0</v>
      </c>
      <c r="G11" s="6"/>
      <c r="H11" s="6"/>
      <c r="I11" s="4">
        <f>H11-G11</f>
        <v>0</v>
      </c>
      <c r="J11" s="5">
        <f>SUM(I11,F11)</f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8">
        <v>44859</v>
      </c>
      <c r="B12" s="7" t="s">
        <v>17</v>
      </c>
      <c r="C12" s="7" t="s">
        <v>18</v>
      </c>
      <c r="D12" s="6"/>
      <c r="E12" s="6"/>
      <c r="F12" s="4">
        <f>E12-D12</f>
        <v>0</v>
      </c>
      <c r="G12" s="6"/>
      <c r="H12" s="6"/>
      <c r="I12" s="4">
        <f>H12-G12</f>
        <v>0</v>
      </c>
      <c r="J12" s="5">
        <f>SUM(I12,F12)</f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customHeight="1" ht="14.25">
      <c r="A13" s="8">
        <v>44860</v>
      </c>
      <c r="B13" s="7" t="s">
        <v>17</v>
      </c>
      <c r="C13" s="7" t="s">
        <v>18</v>
      </c>
      <c r="D13" s="6"/>
      <c r="E13" s="6"/>
      <c r="F13" s="4">
        <f>E13-D13</f>
        <v>0</v>
      </c>
      <c r="G13" s="6"/>
      <c r="H13" s="6"/>
      <c r="I13" s="4">
        <f>H13-G13</f>
        <v>0</v>
      </c>
      <c r="J13" s="5">
        <f>SUM(I13,F13)</f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customHeight="1" ht="13.5">
      <c r="A14" s="8">
        <v>44861</v>
      </c>
      <c r="B14" s="7" t="s">
        <v>17</v>
      </c>
      <c r="C14" s="7" t="s">
        <v>18</v>
      </c>
      <c r="D14" s="6"/>
      <c r="E14" s="6"/>
      <c r="F14" s="4">
        <f>E14-D14</f>
        <v>0</v>
      </c>
      <c r="G14" s="6"/>
      <c r="H14" s="6"/>
      <c r="I14" s="4">
        <f>H14-G14</f>
        <v>0</v>
      </c>
      <c r="J14" s="5">
        <f>SUM(I14,F14)</f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customHeight="1" ht="13.5">
      <c r="A15" s="8">
        <v>44862</v>
      </c>
      <c r="B15" s="7" t="s">
        <v>17</v>
      </c>
      <c r="C15" s="7" t="s">
        <v>18</v>
      </c>
      <c r="D15" s="6"/>
      <c r="E15" s="6"/>
      <c r="F15" s="4">
        <f>E15-D15</f>
        <v>0</v>
      </c>
      <c r="G15" s="6"/>
      <c r="H15" s="6"/>
      <c r="I15" s="4">
        <f>H15-G15</f>
        <v>0</v>
      </c>
      <c r="J15" s="5">
        <f>SUM(I15,F15)</f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customHeight="1" ht="14.25">
      <c r="A16" s="8">
        <v>44865</v>
      </c>
      <c r="B16" s="7" t="s">
        <v>17</v>
      </c>
      <c r="C16" s="7" t="s">
        <v>18</v>
      </c>
      <c r="D16" s="6"/>
      <c r="E16" s="6"/>
      <c r="F16" s="4">
        <f>E16-D16</f>
        <v>0</v>
      </c>
      <c r="G16" s="6"/>
      <c r="H16" s="6"/>
      <c r="I16" s="4">
        <f>H16-G16</f>
        <v>0</v>
      </c>
      <c r="J16" s="5">
        <f>SUM(I16,F16)</f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customHeight="1" ht="14.25">
      <c r="A17" s="8">
        <v>44866</v>
      </c>
      <c r="B17" s="7" t="s">
        <v>17</v>
      </c>
      <c r="C17" s="7" t="s">
        <v>18</v>
      </c>
      <c r="D17" s="6"/>
      <c r="E17" s="6"/>
      <c r="F17" s="4">
        <f>E17-D17</f>
        <v>0</v>
      </c>
      <c r="G17" s="6"/>
      <c r="H17" s="6"/>
      <c r="I17" s="4">
        <f>H17-G17</f>
        <v>0</v>
      </c>
      <c r="J17" s="5">
        <f>SUM(I17,F17)</f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customHeight="1" ht="14.25">
      <c r="A18" s="8">
        <v>44868</v>
      </c>
      <c r="B18" s="7" t="s">
        <v>17</v>
      </c>
      <c r="C18" s="7" t="s">
        <v>18</v>
      </c>
      <c r="D18" s="6"/>
      <c r="E18" s="6"/>
      <c r="F18" s="4">
        <f>E18-D18</f>
        <v>0</v>
      </c>
      <c r="G18" s="6"/>
      <c r="H18" s="6"/>
      <c r="I18" s="4">
        <f>H18-G18</f>
        <v>0</v>
      </c>
      <c r="J18" s="5">
        <f>SUM(I18,F18)</f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customHeight="1" ht="14.25">
      <c r="A19" s="8">
        <v>44869</v>
      </c>
      <c r="B19" s="7" t="s">
        <v>17</v>
      </c>
      <c r="C19" s="7" t="s">
        <v>18</v>
      </c>
      <c r="D19" s="6"/>
      <c r="E19" s="6"/>
      <c r="F19" s="4">
        <f>E19-D19</f>
        <v>0</v>
      </c>
      <c r="G19" s="6"/>
      <c r="H19" s="6"/>
      <c r="I19" s="4">
        <f>H19-G19</f>
        <v>0</v>
      </c>
      <c r="J19" s="5">
        <f>SUM(I19,F19)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customHeight="1" ht="14.25">
      <c r="A20" s="8">
        <v>44841</v>
      </c>
      <c r="B20" s="7" t="s">
        <v>17</v>
      </c>
      <c r="C20" s="7" t="s">
        <v>18</v>
      </c>
      <c r="D20" s="6"/>
      <c r="E20" s="6"/>
      <c r="F20" s="4">
        <f>E20-D20</f>
        <v>0</v>
      </c>
      <c r="G20" s="6"/>
      <c r="H20" s="6"/>
      <c r="I20" s="4">
        <f>H20-G20</f>
        <v>0</v>
      </c>
      <c r="J20" s="5">
        <f>SUM(I20,F20)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customHeight="1" ht="14.25">
      <c r="A21" s="8">
        <v>44842</v>
      </c>
      <c r="B21" s="7" t="s">
        <v>17</v>
      </c>
      <c r="C21" s="7" t="s">
        <v>18</v>
      </c>
      <c r="D21" s="6"/>
      <c r="E21" s="6"/>
      <c r="F21" s="4">
        <f>E21-D21</f>
        <v>0</v>
      </c>
      <c r="G21" s="6"/>
      <c r="H21" s="6"/>
      <c r="I21" s="4">
        <f>H21-G21</f>
        <v>0</v>
      </c>
      <c r="J21" s="5">
        <f>SUM(I21,F21)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customHeight="1" ht="14.25">
      <c r="A22" s="8">
        <v>44843</v>
      </c>
      <c r="B22" s="7" t="s">
        <v>17</v>
      </c>
      <c r="C22" s="7" t="s">
        <v>18</v>
      </c>
      <c r="D22" s="6"/>
      <c r="E22" s="6"/>
      <c r="F22" s="4">
        <f>E22-D22</f>
        <v>0</v>
      </c>
      <c r="G22" s="6"/>
      <c r="H22" s="6"/>
      <c r="I22" s="4">
        <f>H22-G22</f>
        <v>0</v>
      </c>
      <c r="J22" s="5">
        <f>SUM(I22,F22)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customHeight="1" ht="14.25">
      <c r="A23" s="8">
        <v>44844</v>
      </c>
      <c r="B23" s="7" t="s">
        <v>17</v>
      </c>
      <c r="C23" s="7" t="s">
        <v>18</v>
      </c>
      <c r="D23" s="6"/>
      <c r="E23" s="6"/>
      <c r="F23" s="4">
        <f>E23-D23</f>
        <v>0</v>
      </c>
      <c r="G23" s="6"/>
      <c r="H23" s="6"/>
      <c r="I23" s="4">
        <f>H23-G23</f>
        <v>0</v>
      </c>
      <c r="J23" s="5">
        <f>SUM(I23,F23)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customHeight="1" ht="14.25">
      <c r="A24" s="8">
        <v>44845</v>
      </c>
      <c r="B24" s="7" t="s">
        <v>17</v>
      </c>
      <c r="C24" s="7" t="s">
        <v>18</v>
      </c>
      <c r="D24" s="6"/>
      <c r="E24" s="6"/>
      <c r="F24" s="4">
        <f>E24-D24</f>
        <v>0</v>
      </c>
      <c r="G24" s="6"/>
      <c r="H24" s="6"/>
      <c r="I24" s="4">
        <f>H24-G24</f>
        <v>0</v>
      </c>
      <c r="J24" s="5">
        <f>SUM(I24,F24)</f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customHeight="1" ht="14.25">
      <c r="A25" s="9"/>
      <c r="B25" s="9"/>
      <c r="C25" s="9"/>
      <c r="D25" s="9"/>
      <c r="E25" s="9"/>
      <c r="F25" s="9"/>
      <c r="G25" s="9"/>
      <c r="H25" s="9"/>
      <c r="I25" s="10" t="s">
        <v>12</v>
      </c>
      <c r="J25" s="11">
        <f>SUM(J4:J24)</f>
        <v>1.79166666666667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customHeight="1" ht="14.25">
      <c r="A26" s="12"/>
      <c r="B26" s="12"/>
      <c r="C26" s="12"/>
      <c r="D26" s="12"/>
      <c r="E26" s="12"/>
      <c r="F26" s="12"/>
      <c r="G26" s="12"/>
      <c r="H26" s="12"/>
      <c r="I26" s="13"/>
      <c r="J26" s="14"/>
    </row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/>
    <row r="993" spans="1:25" customHeight="1" ht="14.25"/>
    <row r="994" spans="1:25" customHeight="1" ht="14.25"/>
    <row r="995" spans="1:25" customHeight="1" ht="14.25"/>
    <row r="996" spans="1:25" customHeight="1" ht="14.25"/>
    <row r="997" spans="1:25" customHeight="1" ht="14.25"/>
    <row r="998" spans="1:25" customHeight="1" ht="14.25"/>
    <row r="999" spans="1:25" customHeight="1" ht="14.25"/>
    <row r="1000" spans="1:25" customHeight="1" ht="14.25"/>
    <row r="1001" spans="1:25" customHeight="1" ht="14.25"/>
    <row r="1002" spans="1:25" customHeight="1" ht="14.25"/>
    <row r="1003" spans="1:25" customHeight="1" ht="14.25"/>
    <row r="1004" spans="1:25" customHeight="1" ht="14.25"/>
    <row r="1005" spans="1:25" customHeight="1" ht="14.25"/>
    <row r="1006" spans="1:25" customHeight="1" ht="14.25">
      <c r="B1006" s="15"/>
      <c r="C1006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Joilson</vt:lpstr>
      <vt:lpstr>Atividades</vt:lpstr>
      <vt:lpstr>Rafael</vt:lpstr>
      <vt:lpstr>Luciano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Testing Company</dc:creator>
  <cp:lastModifiedBy>William Deivid Pires</cp:lastModifiedBy>
  <dcterms:created xsi:type="dcterms:W3CDTF">2021-07-06T16:41:01-03:00</dcterms:created>
  <dcterms:modified xsi:type="dcterms:W3CDTF">2026-01-21T10:07:48-03:00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7f406a-379f-47ee-930c-6bec6e76f2a4_Enabled">
    <vt:lpwstr>true</vt:lpwstr>
  </property>
  <property fmtid="{D5CDD505-2E9C-101B-9397-08002B2CF9AE}" pid="3" name="MSIP_Label_387f406a-379f-47ee-930c-6bec6e76f2a4_SetDate">
    <vt:lpwstr>2023-06-02T14:03:56Z</vt:lpwstr>
  </property>
  <property fmtid="{D5CDD505-2E9C-101B-9397-08002B2CF9AE}" pid="4" name="MSIP_Label_387f406a-379f-47ee-930c-6bec6e76f2a4_Method">
    <vt:lpwstr>Privileged</vt:lpwstr>
  </property>
  <property fmtid="{D5CDD505-2E9C-101B-9397-08002B2CF9AE}" pid="5" name="MSIP_Label_387f406a-379f-47ee-930c-6bec6e76f2a4_Name">
    <vt:lpwstr>387f406a-379f-47ee-930c-6bec6e76f2a4</vt:lpwstr>
  </property>
  <property fmtid="{D5CDD505-2E9C-101B-9397-08002B2CF9AE}" pid="6" name="MSIP_Label_387f406a-379f-47ee-930c-6bec6e76f2a4_SiteId">
    <vt:lpwstr>57b8c96e-ac2f-4d78-a149-f1fc6817d3c4</vt:lpwstr>
  </property>
  <property fmtid="{D5CDD505-2E9C-101B-9397-08002B2CF9AE}" pid="7" name="MSIP_Label_387f406a-379f-47ee-930c-6bec6e76f2a4_ActionId">
    <vt:lpwstr>a6217203-f326-4f3b-bf7d-d94b33dfb2d3</vt:lpwstr>
  </property>
  <property fmtid="{D5CDD505-2E9C-101B-9397-08002B2CF9AE}" pid="8" name="MSIP_Label_387f406a-379f-47ee-930c-6bec6e76f2a4_ContentBits">
    <vt:lpwstr>2</vt:lpwstr>
  </property>
  <property fmtid="{D5CDD505-2E9C-101B-9397-08002B2CF9AE}" pid="9" name="ContentTypeId">
    <vt:lpwstr>0x0101006E79C1762D4DB04CB8915B65E7A99B98</vt:lpwstr>
  </property>
  <property fmtid="{D5CDD505-2E9C-101B-9397-08002B2CF9AE}" pid="10" name="Order">
    <vt:r8>7900.000000</vt:r8>
  </property>
  <property fmtid="{D5CDD505-2E9C-101B-9397-08002B2CF9AE}" pid="11" name="xd_Signature">
    <vt:bool>false</vt:bool>
  </property>
  <property fmtid="{D5CDD505-2E9C-101B-9397-08002B2CF9AE}" pid="12" name="xd_ProgID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  <property fmtid="{D5CDD505-2E9C-101B-9397-08002B2CF9AE}" pid="17" name="MediaServiceImageTags">
    <vt:lpwstr/>
  </property>
</Properties>
</file>